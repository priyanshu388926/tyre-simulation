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5"/>
  <workbookPr/>
  <mc:AlternateContent xmlns:mc="http://schemas.openxmlformats.org/markup-compatibility/2006">
    <mc:Choice Requires="x15">
      <x15ac:absPath xmlns:x15ac="http://schemas.microsoft.com/office/spreadsheetml/2010/11/ac" url="https://apollotyres-my.sharepoint.com/personal/rajasekar_velusamy_apollotyres_com/Documents/Legacy Reimagined-PV/Test Data/Mu Slip Test Data/"/>
    </mc:Choice>
  </mc:AlternateContent>
  <xr:revisionPtr revIDLastSave="0" documentId="8_{54CA0B4A-328E-49B0-9ADC-4EAD9E1787B9}" xr6:coauthVersionLast="47" xr6:coauthVersionMax="47" xr10:uidLastSave="{00000000-0000-0000-0000-000000000000}"/>
  <bookViews>
    <workbookView xWindow="-120" yWindow="-120" windowWidth="29040" windowHeight="15720" tabRatio="763" xr2:uid="{00000000-000D-0000-FFFF-FFFF00000000}"/>
  </bookViews>
  <sheets>
    <sheet name="Sheet1" sheetId="1" r:id="rId1"/>
  </sheets>
  <definedNames>
    <definedName name="_xlnm._FilterDatabase" localSheetId="0" hidden="1">Sheet1!$A$1:$U$277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0" i="1" l="1"/>
  <c r="N331" i="1"/>
  <c r="N332" i="1"/>
  <c r="N333" i="1"/>
  <c r="F330" i="1"/>
  <c r="G330" i="1"/>
  <c r="H330" i="1"/>
  <c r="F331" i="1"/>
  <c r="G331" i="1"/>
  <c r="H331" i="1"/>
  <c r="F332" i="1"/>
  <c r="G332" i="1"/>
  <c r="H332" i="1"/>
  <c r="F333" i="1"/>
  <c r="G333" i="1"/>
  <c r="H333" i="1"/>
  <c r="N324" i="1"/>
  <c r="N325" i="1"/>
  <c r="N326" i="1"/>
  <c r="N327" i="1"/>
  <c r="N328" i="1"/>
  <c r="N329" i="1"/>
  <c r="F329" i="1"/>
  <c r="G329" i="1"/>
  <c r="H329" i="1"/>
  <c r="F324" i="1"/>
  <c r="G324" i="1"/>
  <c r="H324" i="1"/>
  <c r="F325" i="1"/>
  <c r="G325" i="1"/>
  <c r="H325" i="1"/>
  <c r="F326" i="1"/>
  <c r="G326" i="1"/>
  <c r="H326" i="1"/>
  <c r="F327" i="1"/>
  <c r="G327" i="1"/>
  <c r="H327" i="1"/>
  <c r="F328" i="1"/>
  <c r="G328" i="1"/>
  <c r="H328" i="1"/>
  <c r="F318" i="1"/>
  <c r="G318" i="1"/>
  <c r="H318" i="1"/>
  <c r="F319" i="1"/>
  <c r="G319" i="1"/>
  <c r="H319" i="1"/>
  <c r="F320" i="1"/>
  <c r="G320" i="1"/>
  <c r="H320" i="1"/>
  <c r="F321" i="1"/>
  <c r="G321" i="1"/>
  <c r="H321" i="1"/>
  <c r="F322" i="1"/>
  <c r="G322" i="1"/>
  <c r="H322" i="1"/>
  <c r="F323" i="1"/>
  <c r="G323" i="1"/>
  <c r="H323" i="1"/>
  <c r="N323" i="1"/>
  <c r="N322" i="1"/>
  <c r="N321" i="1"/>
  <c r="N320" i="1"/>
  <c r="N319" i="1"/>
  <c r="N318" i="1"/>
  <c r="N313" i="1"/>
  <c r="N314" i="1"/>
  <c r="N315" i="1"/>
  <c r="N316" i="1"/>
  <c r="N317" i="1"/>
  <c r="N312" i="1"/>
  <c r="F312" i="1"/>
  <c r="G312" i="1"/>
  <c r="H312" i="1"/>
  <c r="F313" i="1"/>
  <c r="G313" i="1"/>
  <c r="H313" i="1"/>
  <c r="F314" i="1"/>
  <c r="G314" i="1"/>
  <c r="H314" i="1"/>
  <c r="F315" i="1"/>
  <c r="G315" i="1"/>
  <c r="H315" i="1"/>
  <c r="F316" i="1"/>
  <c r="G316" i="1"/>
  <c r="H316" i="1"/>
  <c r="F317" i="1"/>
  <c r="G317" i="1"/>
  <c r="H317" i="1"/>
  <c r="F302" i="1"/>
  <c r="G302" i="1"/>
  <c r="H302" i="1"/>
  <c r="F303" i="1"/>
  <c r="G303" i="1"/>
  <c r="H303" i="1"/>
  <c r="F304" i="1"/>
  <c r="G304" i="1"/>
  <c r="H304" i="1"/>
  <c r="F305" i="1"/>
  <c r="G305" i="1"/>
  <c r="H305" i="1"/>
  <c r="F306" i="1"/>
  <c r="G306" i="1"/>
  <c r="H306" i="1"/>
  <c r="F307" i="1"/>
  <c r="G307" i="1"/>
  <c r="H307" i="1"/>
  <c r="F308" i="1"/>
  <c r="G308" i="1"/>
  <c r="H308" i="1"/>
  <c r="F309" i="1"/>
  <c r="G309" i="1"/>
  <c r="H309" i="1"/>
  <c r="F310" i="1"/>
  <c r="G310" i="1"/>
  <c r="H310" i="1"/>
  <c r="F311" i="1"/>
  <c r="G311" i="1"/>
  <c r="H311" i="1"/>
  <c r="N302" i="1"/>
  <c r="N303" i="1"/>
  <c r="N304" i="1"/>
  <c r="N305" i="1"/>
  <c r="N306" i="1"/>
  <c r="N307" i="1"/>
  <c r="N308" i="1"/>
  <c r="N309" i="1"/>
  <c r="N310" i="1"/>
  <c r="N311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278" i="1"/>
  <c r="F279" i="1"/>
  <c r="G279" i="1"/>
  <c r="H279" i="1"/>
  <c r="F280" i="1"/>
  <c r="G280" i="1"/>
  <c r="H280" i="1"/>
  <c r="F281" i="1"/>
  <c r="G281" i="1"/>
  <c r="H281" i="1"/>
  <c r="F282" i="1"/>
  <c r="G282" i="1"/>
  <c r="H282" i="1"/>
  <c r="F283" i="1"/>
  <c r="G283" i="1"/>
  <c r="H283" i="1"/>
  <c r="F284" i="1"/>
  <c r="G284" i="1"/>
  <c r="H284" i="1"/>
  <c r="F285" i="1"/>
  <c r="G285" i="1"/>
  <c r="H285" i="1"/>
  <c r="F286" i="1"/>
  <c r="G286" i="1"/>
  <c r="H286" i="1"/>
  <c r="F287" i="1"/>
  <c r="G287" i="1"/>
  <c r="H287" i="1"/>
  <c r="F288" i="1"/>
  <c r="G288" i="1"/>
  <c r="H288" i="1"/>
  <c r="F289" i="1"/>
  <c r="G289" i="1"/>
  <c r="H289" i="1"/>
  <c r="F290" i="1"/>
  <c r="G290" i="1"/>
  <c r="H290" i="1"/>
  <c r="F291" i="1"/>
  <c r="G291" i="1"/>
  <c r="H291" i="1"/>
  <c r="F292" i="1"/>
  <c r="G292" i="1"/>
  <c r="H292" i="1"/>
  <c r="F293" i="1"/>
  <c r="G293" i="1"/>
  <c r="H293" i="1"/>
  <c r="F294" i="1"/>
  <c r="G294" i="1"/>
  <c r="H294" i="1"/>
  <c r="F295" i="1"/>
  <c r="G295" i="1"/>
  <c r="H295" i="1"/>
  <c r="F296" i="1"/>
  <c r="G296" i="1"/>
  <c r="H296" i="1"/>
  <c r="F297" i="1"/>
  <c r="G297" i="1"/>
  <c r="H297" i="1"/>
  <c r="F298" i="1"/>
  <c r="G298" i="1"/>
  <c r="H298" i="1"/>
  <c r="F299" i="1"/>
  <c r="G299" i="1"/>
  <c r="H299" i="1"/>
  <c r="F300" i="1"/>
  <c r="G300" i="1"/>
  <c r="H300" i="1"/>
  <c r="F301" i="1"/>
  <c r="G301" i="1"/>
  <c r="H301" i="1"/>
  <c r="F278" i="1"/>
  <c r="G278" i="1"/>
  <c r="H278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F267" i="1"/>
  <c r="G267" i="1"/>
  <c r="H267" i="1"/>
  <c r="F268" i="1"/>
  <c r="G268" i="1"/>
  <c r="H268" i="1"/>
  <c r="F269" i="1"/>
  <c r="G269" i="1"/>
  <c r="H269" i="1"/>
  <c r="F270" i="1"/>
  <c r="G270" i="1"/>
  <c r="H270" i="1"/>
  <c r="F271" i="1"/>
  <c r="G271" i="1"/>
  <c r="H271" i="1"/>
  <c r="F272" i="1"/>
  <c r="G272" i="1"/>
  <c r="H272" i="1"/>
  <c r="F273" i="1"/>
  <c r="G273" i="1"/>
  <c r="H273" i="1"/>
  <c r="F274" i="1"/>
  <c r="G274" i="1"/>
  <c r="H274" i="1"/>
  <c r="F275" i="1"/>
  <c r="G275" i="1"/>
  <c r="H275" i="1"/>
  <c r="F276" i="1"/>
  <c r="G276" i="1"/>
  <c r="H276" i="1"/>
  <c r="F277" i="1"/>
  <c r="G277" i="1"/>
  <c r="H277" i="1"/>
  <c r="F266" i="1"/>
  <c r="G266" i="1"/>
  <c r="H266" i="1"/>
  <c r="N261" i="1"/>
  <c r="N262" i="1"/>
  <c r="N263" i="1"/>
  <c r="N264" i="1"/>
  <c r="N265" i="1"/>
  <c r="N260" i="1"/>
  <c r="F261" i="1"/>
  <c r="G261" i="1"/>
  <c r="H261" i="1"/>
  <c r="F262" i="1"/>
  <c r="G262" i="1"/>
  <c r="H262" i="1"/>
  <c r="F263" i="1"/>
  <c r="G263" i="1"/>
  <c r="H263" i="1"/>
  <c r="F264" i="1"/>
  <c r="G264" i="1"/>
  <c r="H264" i="1"/>
  <c r="F265" i="1"/>
  <c r="G265" i="1"/>
  <c r="H265" i="1"/>
  <c r="F260" i="1"/>
  <c r="G260" i="1"/>
  <c r="H260" i="1"/>
  <c r="N259" i="1"/>
  <c r="N258" i="1"/>
  <c r="N257" i="1"/>
  <c r="N256" i="1"/>
  <c r="N255" i="1"/>
  <c r="N254" i="1"/>
  <c r="N248" i="1"/>
  <c r="N249" i="1"/>
  <c r="N250" i="1"/>
  <c r="N251" i="1"/>
  <c r="N252" i="1"/>
  <c r="N253" i="1"/>
  <c r="F248" i="1"/>
  <c r="G248" i="1"/>
  <c r="H248" i="1"/>
  <c r="F249" i="1"/>
  <c r="G249" i="1"/>
  <c r="H249" i="1"/>
  <c r="F250" i="1"/>
  <c r="G250" i="1"/>
  <c r="H250" i="1"/>
  <c r="F251" i="1"/>
  <c r="G251" i="1"/>
  <c r="H251" i="1"/>
  <c r="F252" i="1"/>
  <c r="G252" i="1"/>
  <c r="H252" i="1"/>
  <c r="F253" i="1"/>
  <c r="G253" i="1"/>
  <c r="H253" i="1"/>
  <c r="F254" i="1"/>
  <c r="G254" i="1"/>
  <c r="H254" i="1"/>
  <c r="F255" i="1"/>
  <c r="G255" i="1"/>
  <c r="H255" i="1"/>
  <c r="F256" i="1"/>
  <c r="G256" i="1"/>
  <c r="H256" i="1"/>
  <c r="F257" i="1"/>
  <c r="G257" i="1"/>
  <c r="H257" i="1"/>
  <c r="F258" i="1"/>
  <c r="G258" i="1"/>
  <c r="H258" i="1"/>
  <c r="F259" i="1"/>
  <c r="G259" i="1"/>
  <c r="H259" i="1"/>
  <c r="F243" i="1"/>
  <c r="G243" i="1"/>
  <c r="H243" i="1"/>
  <c r="F244" i="1"/>
  <c r="G244" i="1"/>
  <c r="H244" i="1"/>
  <c r="F245" i="1"/>
  <c r="G245" i="1"/>
  <c r="H245" i="1"/>
  <c r="F246" i="1"/>
  <c r="G246" i="1"/>
  <c r="H246" i="1"/>
  <c r="F247" i="1"/>
  <c r="G247" i="1"/>
  <c r="H247" i="1"/>
  <c r="N243" i="1"/>
  <c r="N244" i="1"/>
  <c r="N245" i="1"/>
  <c r="N246" i="1"/>
  <c r="N247" i="1"/>
  <c r="N242" i="1"/>
  <c r="F242" i="1"/>
  <c r="G242" i="1"/>
  <c r="H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5" i="1"/>
  <c r="N226" i="1"/>
  <c r="N227" i="1"/>
  <c r="N228" i="1"/>
  <c r="N229" i="1"/>
  <c r="N224" i="1"/>
  <c r="F225" i="1"/>
  <c r="G225" i="1"/>
  <c r="H225" i="1"/>
  <c r="F226" i="1"/>
  <c r="G226" i="1"/>
  <c r="H226" i="1"/>
  <c r="F227" i="1"/>
  <c r="G227" i="1"/>
  <c r="H227" i="1"/>
  <c r="F228" i="1"/>
  <c r="G228" i="1"/>
  <c r="H228" i="1"/>
  <c r="F229" i="1"/>
  <c r="G229" i="1"/>
  <c r="H229" i="1"/>
  <c r="F230" i="1"/>
  <c r="G230" i="1"/>
  <c r="H230" i="1"/>
  <c r="F231" i="1"/>
  <c r="G231" i="1"/>
  <c r="H231" i="1"/>
  <c r="F232" i="1"/>
  <c r="G232" i="1"/>
  <c r="H232" i="1"/>
  <c r="F233" i="1"/>
  <c r="G233" i="1"/>
  <c r="H233" i="1"/>
  <c r="F234" i="1"/>
  <c r="G234" i="1"/>
  <c r="H234" i="1"/>
  <c r="F235" i="1"/>
  <c r="G235" i="1"/>
  <c r="H235" i="1"/>
  <c r="F236" i="1"/>
  <c r="G236" i="1"/>
  <c r="H236" i="1"/>
  <c r="F237" i="1"/>
  <c r="G237" i="1"/>
  <c r="H237" i="1"/>
  <c r="F238" i="1"/>
  <c r="G238" i="1"/>
  <c r="H238" i="1"/>
  <c r="F239" i="1"/>
  <c r="G239" i="1"/>
  <c r="H239" i="1"/>
  <c r="F240" i="1"/>
  <c r="G240" i="1"/>
  <c r="H240" i="1"/>
  <c r="F241" i="1"/>
  <c r="G241" i="1"/>
  <c r="H241" i="1"/>
  <c r="F224" i="1"/>
  <c r="G224" i="1"/>
  <c r="H224" i="1"/>
  <c r="H223" i="1"/>
  <c r="G223" i="1"/>
  <c r="F223" i="1"/>
  <c r="H222" i="1"/>
  <c r="G222" i="1"/>
  <c r="F222" i="1"/>
  <c r="H221" i="1"/>
  <c r="G221" i="1"/>
  <c r="F221" i="1"/>
  <c r="H220" i="1"/>
  <c r="G220" i="1"/>
  <c r="F220" i="1"/>
  <c r="H219" i="1"/>
  <c r="G219" i="1"/>
  <c r="F219" i="1"/>
  <c r="H218" i="1"/>
  <c r="G218" i="1"/>
  <c r="F218" i="1"/>
  <c r="F212" i="1"/>
  <c r="G212" i="1"/>
  <c r="H212" i="1"/>
  <c r="F213" i="1"/>
  <c r="G213" i="1"/>
  <c r="H213" i="1"/>
  <c r="F214" i="1"/>
  <c r="G214" i="1"/>
  <c r="H214" i="1"/>
  <c r="F215" i="1"/>
  <c r="G215" i="1"/>
  <c r="H215" i="1"/>
  <c r="F216" i="1"/>
  <c r="G216" i="1"/>
  <c r="H216" i="1"/>
  <c r="F217" i="1"/>
  <c r="G217" i="1"/>
  <c r="H217" i="1"/>
  <c r="H211" i="1"/>
  <c r="G211" i="1"/>
  <c r="F211" i="1"/>
  <c r="H210" i="1"/>
  <c r="G210" i="1"/>
  <c r="F210" i="1"/>
  <c r="H209" i="1"/>
  <c r="G209" i="1"/>
  <c r="F209" i="1"/>
  <c r="H208" i="1"/>
  <c r="G208" i="1"/>
  <c r="F208" i="1"/>
  <c r="H207" i="1"/>
  <c r="G207" i="1"/>
  <c r="F207" i="1"/>
  <c r="H206" i="1"/>
  <c r="G206" i="1"/>
  <c r="F206" i="1"/>
  <c r="F200" i="1"/>
  <c r="G200" i="1"/>
  <c r="H200" i="1"/>
  <c r="F201" i="1"/>
  <c r="G201" i="1"/>
  <c r="H201" i="1"/>
  <c r="F202" i="1"/>
  <c r="G202" i="1"/>
  <c r="H202" i="1"/>
  <c r="F203" i="1"/>
  <c r="G203" i="1"/>
  <c r="H203" i="1"/>
  <c r="F204" i="1"/>
  <c r="G204" i="1"/>
  <c r="H204" i="1"/>
  <c r="F205" i="1"/>
  <c r="G205" i="1"/>
  <c r="H205" i="1"/>
  <c r="H199" i="1"/>
  <c r="G199" i="1"/>
  <c r="F199" i="1"/>
  <c r="H198" i="1"/>
  <c r="G198" i="1"/>
  <c r="F198" i="1"/>
  <c r="H197" i="1"/>
  <c r="G197" i="1"/>
  <c r="F197" i="1"/>
  <c r="H196" i="1"/>
  <c r="G196" i="1"/>
  <c r="F196" i="1"/>
  <c r="H195" i="1"/>
  <c r="G195" i="1"/>
  <c r="F195" i="1"/>
  <c r="H194" i="1"/>
  <c r="G194" i="1"/>
  <c r="F194" i="1"/>
  <c r="F189" i="1"/>
  <c r="G189" i="1"/>
  <c r="H189" i="1"/>
  <c r="F190" i="1"/>
  <c r="G190" i="1"/>
  <c r="H190" i="1"/>
  <c r="F191" i="1"/>
  <c r="G191" i="1"/>
  <c r="H191" i="1"/>
  <c r="F192" i="1"/>
  <c r="G192" i="1"/>
  <c r="H192" i="1"/>
  <c r="F193" i="1"/>
  <c r="G193" i="1"/>
  <c r="H193" i="1"/>
  <c r="F188" i="1"/>
  <c r="G188" i="1"/>
  <c r="H188" i="1"/>
  <c r="H187" i="1"/>
  <c r="G187" i="1"/>
  <c r="F187" i="1"/>
  <c r="H186" i="1"/>
  <c r="G186" i="1"/>
  <c r="F186" i="1"/>
  <c r="H185" i="1"/>
  <c r="G185" i="1"/>
  <c r="F185" i="1"/>
  <c r="H184" i="1"/>
  <c r="G184" i="1"/>
  <c r="F184" i="1"/>
  <c r="H183" i="1"/>
  <c r="G183" i="1"/>
  <c r="F183" i="1"/>
  <c r="H182" i="1"/>
  <c r="G182" i="1"/>
  <c r="F182" i="1"/>
  <c r="F176" i="1"/>
  <c r="G176" i="1"/>
  <c r="H176" i="1"/>
  <c r="F177" i="1"/>
  <c r="G177" i="1"/>
  <c r="H177" i="1"/>
  <c r="F178" i="1"/>
  <c r="G178" i="1"/>
  <c r="H178" i="1"/>
  <c r="F179" i="1"/>
  <c r="G179" i="1"/>
  <c r="H179" i="1"/>
  <c r="F180" i="1"/>
  <c r="G180" i="1"/>
  <c r="H180" i="1"/>
  <c r="F181" i="1"/>
  <c r="G181" i="1"/>
  <c r="H181" i="1"/>
  <c r="F170" i="1"/>
  <c r="G170" i="1"/>
  <c r="H170" i="1"/>
  <c r="F171" i="1"/>
  <c r="G171" i="1"/>
  <c r="H171" i="1"/>
  <c r="F172" i="1"/>
  <c r="G172" i="1"/>
  <c r="H172" i="1"/>
  <c r="F173" i="1"/>
  <c r="G173" i="1"/>
  <c r="H173" i="1"/>
  <c r="F174" i="1"/>
  <c r="G174" i="1"/>
  <c r="H174" i="1"/>
  <c r="F175" i="1"/>
  <c r="G175" i="1"/>
  <c r="H175" i="1"/>
  <c r="F164" i="1"/>
  <c r="G164" i="1"/>
  <c r="H164" i="1"/>
  <c r="F165" i="1"/>
  <c r="G165" i="1"/>
  <c r="H165" i="1"/>
  <c r="F166" i="1"/>
  <c r="G166" i="1"/>
  <c r="H166" i="1"/>
  <c r="F167" i="1"/>
  <c r="G167" i="1"/>
  <c r="H167" i="1"/>
  <c r="F168" i="1"/>
  <c r="G168" i="1"/>
  <c r="H168" i="1"/>
  <c r="F169" i="1"/>
  <c r="G169" i="1"/>
  <c r="H169" i="1"/>
  <c r="F158" i="1"/>
  <c r="G158" i="1"/>
  <c r="H158" i="1"/>
  <c r="F159" i="1"/>
  <c r="G159" i="1"/>
  <c r="H159" i="1"/>
  <c r="F160" i="1"/>
  <c r="G160" i="1"/>
  <c r="H160" i="1"/>
  <c r="F161" i="1"/>
  <c r="G161" i="1"/>
  <c r="H161" i="1"/>
  <c r="F162" i="1"/>
  <c r="G162" i="1"/>
  <c r="H162" i="1"/>
  <c r="F163" i="1"/>
  <c r="G163" i="1"/>
  <c r="H163" i="1"/>
  <c r="F154" i="1"/>
  <c r="G154" i="1"/>
  <c r="H154" i="1"/>
  <c r="F155" i="1"/>
  <c r="G155" i="1"/>
  <c r="H155" i="1"/>
  <c r="F156" i="1"/>
  <c r="G156" i="1"/>
  <c r="H156" i="1"/>
  <c r="F157" i="1"/>
  <c r="G157" i="1"/>
  <c r="H157" i="1"/>
  <c r="H153" i="1"/>
  <c r="G153" i="1"/>
  <c r="F153" i="1"/>
  <c r="H152" i="1"/>
  <c r="G152" i="1"/>
  <c r="F152" i="1"/>
  <c r="H151" i="1"/>
  <c r="G151" i="1"/>
  <c r="F151" i="1"/>
  <c r="H150" i="1"/>
  <c r="G150" i="1"/>
  <c r="F150" i="1"/>
  <c r="H149" i="1"/>
  <c r="G149" i="1"/>
  <c r="F149" i="1"/>
  <c r="H148" i="1"/>
  <c r="G148" i="1"/>
  <c r="F148" i="1"/>
  <c r="H147" i="1"/>
  <c r="G147" i="1"/>
  <c r="F147" i="1"/>
  <c r="H146" i="1"/>
  <c r="G146" i="1"/>
  <c r="F146" i="1"/>
  <c r="H145" i="1"/>
  <c r="G145" i="1"/>
  <c r="F145" i="1"/>
  <c r="H144" i="1"/>
  <c r="G144" i="1"/>
  <c r="F144" i="1"/>
  <c r="H143" i="1"/>
  <c r="G143" i="1"/>
  <c r="F143" i="1"/>
  <c r="H142" i="1"/>
  <c r="G142" i="1"/>
  <c r="F142" i="1"/>
  <c r="H141" i="1"/>
  <c r="G141" i="1"/>
  <c r="F141" i="1"/>
  <c r="F135" i="1"/>
  <c r="G135" i="1"/>
  <c r="H135" i="1"/>
  <c r="F136" i="1"/>
  <c r="G136" i="1"/>
  <c r="H136" i="1"/>
  <c r="F137" i="1"/>
  <c r="G137" i="1"/>
  <c r="H137" i="1"/>
  <c r="F138" i="1"/>
  <c r="G138" i="1"/>
  <c r="H138" i="1"/>
  <c r="F139" i="1"/>
  <c r="G139" i="1"/>
  <c r="H139" i="1"/>
  <c r="F140" i="1"/>
  <c r="G140" i="1"/>
  <c r="H140" i="1"/>
  <c r="F130" i="1"/>
  <c r="G130" i="1"/>
  <c r="H130" i="1"/>
  <c r="F131" i="1"/>
  <c r="G131" i="1"/>
  <c r="H131" i="1"/>
  <c r="F132" i="1"/>
  <c r="G132" i="1"/>
  <c r="H132" i="1"/>
  <c r="F133" i="1"/>
  <c r="G133" i="1"/>
  <c r="H133" i="1"/>
  <c r="F134" i="1"/>
  <c r="G134" i="1"/>
  <c r="H134" i="1"/>
  <c r="F129" i="1"/>
  <c r="G129" i="1"/>
  <c r="H129" i="1"/>
  <c r="F123" i="1"/>
  <c r="G123" i="1"/>
  <c r="H123" i="1"/>
  <c r="F124" i="1"/>
  <c r="G124" i="1"/>
  <c r="H124" i="1"/>
  <c r="F125" i="1"/>
  <c r="G125" i="1"/>
  <c r="H125" i="1"/>
  <c r="F126" i="1"/>
  <c r="G126" i="1"/>
  <c r="H126" i="1"/>
  <c r="F127" i="1"/>
  <c r="G127" i="1"/>
  <c r="H127" i="1"/>
  <c r="F128" i="1"/>
  <c r="G128" i="1"/>
  <c r="H128" i="1"/>
  <c r="F118" i="1"/>
  <c r="G118" i="1"/>
  <c r="H118" i="1"/>
  <c r="F119" i="1"/>
  <c r="G119" i="1"/>
  <c r="H119" i="1"/>
  <c r="F120" i="1"/>
  <c r="G120" i="1"/>
  <c r="H120" i="1"/>
  <c r="F121" i="1"/>
  <c r="G121" i="1"/>
  <c r="H121" i="1"/>
  <c r="F122" i="1"/>
  <c r="G122" i="1"/>
  <c r="H122" i="1"/>
  <c r="H117" i="1"/>
  <c r="G117" i="1"/>
  <c r="F117" i="1"/>
  <c r="F111" i="1"/>
  <c r="G111" i="1"/>
  <c r="H111" i="1"/>
  <c r="F112" i="1"/>
  <c r="G112" i="1"/>
  <c r="H112" i="1"/>
  <c r="F113" i="1"/>
  <c r="G113" i="1"/>
  <c r="H113" i="1"/>
  <c r="F114" i="1"/>
  <c r="G114" i="1"/>
  <c r="H114" i="1"/>
  <c r="F115" i="1"/>
  <c r="G115" i="1"/>
  <c r="H115" i="1"/>
  <c r="F116" i="1"/>
  <c r="G116" i="1"/>
  <c r="H116" i="1"/>
  <c r="F107" i="1"/>
  <c r="G107" i="1"/>
  <c r="H107" i="1"/>
  <c r="F108" i="1"/>
  <c r="G108" i="1"/>
  <c r="H108" i="1"/>
  <c r="F109" i="1"/>
  <c r="G109" i="1"/>
  <c r="H109" i="1"/>
  <c r="F110" i="1"/>
  <c r="G110" i="1"/>
  <c r="H110" i="1"/>
  <c r="F106" i="1"/>
  <c r="G106" i="1"/>
  <c r="H106" i="1"/>
  <c r="N105" i="1"/>
  <c r="H105" i="1"/>
  <c r="G105" i="1"/>
  <c r="F105" i="1"/>
  <c r="N104" i="1"/>
  <c r="H104" i="1"/>
  <c r="G104" i="1"/>
  <c r="F104" i="1"/>
  <c r="N103" i="1"/>
  <c r="H103" i="1"/>
  <c r="G103" i="1"/>
  <c r="F103" i="1"/>
  <c r="N102" i="1"/>
  <c r="H102" i="1"/>
  <c r="G102" i="1"/>
  <c r="F102" i="1"/>
  <c r="N101" i="1"/>
  <c r="H101" i="1"/>
  <c r="G101" i="1"/>
  <c r="F101" i="1"/>
  <c r="N100" i="1"/>
  <c r="H100" i="1"/>
  <c r="G100" i="1"/>
  <c r="F100" i="1"/>
  <c r="H99" i="1"/>
  <c r="G99" i="1"/>
  <c r="F99" i="1"/>
  <c r="H98" i="1"/>
  <c r="G98" i="1"/>
  <c r="F98" i="1"/>
  <c r="H97" i="1"/>
  <c r="G97" i="1"/>
  <c r="F97" i="1"/>
  <c r="H96" i="1"/>
  <c r="G96" i="1"/>
  <c r="F96" i="1"/>
  <c r="N99" i="1"/>
  <c r="N98" i="1"/>
  <c r="N97" i="1"/>
  <c r="N96" i="1"/>
  <c r="F90" i="1"/>
  <c r="G90" i="1"/>
  <c r="H90" i="1"/>
  <c r="F91" i="1"/>
  <c r="G91" i="1"/>
  <c r="H91" i="1"/>
  <c r="F92" i="1"/>
  <c r="G92" i="1"/>
  <c r="H92" i="1"/>
  <c r="F93" i="1"/>
  <c r="G93" i="1"/>
  <c r="H93" i="1"/>
  <c r="F94" i="1"/>
  <c r="G94" i="1"/>
  <c r="H94" i="1"/>
  <c r="F95" i="1"/>
  <c r="G95" i="1"/>
  <c r="H95" i="1"/>
  <c r="N90" i="1"/>
  <c r="N91" i="1"/>
  <c r="N92" i="1"/>
  <c r="N93" i="1"/>
  <c r="N94" i="1"/>
  <c r="N95" i="1"/>
  <c r="F85" i="1"/>
  <c r="G85" i="1"/>
  <c r="H85" i="1"/>
  <c r="F86" i="1"/>
  <c r="G86" i="1"/>
  <c r="H86" i="1"/>
  <c r="F87" i="1"/>
  <c r="G87" i="1"/>
  <c r="H87" i="1"/>
  <c r="F88" i="1"/>
  <c r="G88" i="1"/>
  <c r="H88" i="1"/>
  <c r="F89" i="1"/>
  <c r="G89" i="1"/>
  <c r="H89" i="1"/>
  <c r="F84" i="1"/>
  <c r="G84" i="1"/>
  <c r="H84" i="1"/>
  <c r="N85" i="1"/>
  <c r="N86" i="1"/>
  <c r="N87" i="1"/>
  <c r="N88" i="1"/>
  <c r="N89" i="1"/>
  <c r="N84" i="1"/>
  <c r="H83" i="1"/>
  <c r="G83" i="1"/>
  <c r="F83" i="1"/>
  <c r="H82" i="1"/>
  <c r="G82" i="1"/>
  <c r="F82" i="1"/>
  <c r="H81" i="1"/>
  <c r="G81" i="1"/>
  <c r="F81" i="1"/>
  <c r="H80" i="1"/>
  <c r="G80" i="1"/>
  <c r="F80" i="1"/>
  <c r="H79" i="1"/>
  <c r="G79" i="1"/>
  <c r="F79" i="1"/>
  <c r="H78" i="1"/>
  <c r="G78" i="1"/>
  <c r="F78" i="1"/>
  <c r="N78" i="1"/>
  <c r="N79" i="1"/>
  <c r="N80" i="1"/>
  <c r="N81" i="1"/>
  <c r="N82" i="1"/>
  <c r="N83" i="1"/>
  <c r="N72" i="1"/>
  <c r="N73" i="1"/>
  <c r="N74" i="1"/>
  <c r="N75" i="1"/>
  <c r="N76" i="1"/>
  <c r="N77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/>
  <c r="H76" i="1"/>
  <c r="F77" i="1"/>
  <c r="G77" i="1"/>
  <c r="H77" i="1"/>
  <c r="F66" i="1"/>
  <c r="G66" i="1"/>
  <c r="H66" i="1"/>
  <c r="F67" i="1"/>
  <c r="G67" i="1"/>
  <c r="H67" i="1"/>
  <c r="F68" i="1"/>
  <c r="G68" i="1"/>
  <c r="H68" i="1"/>
  <c r="F69" i="1"/>
  <c r="G69" i="1"/>
  <c r="H69" i="1"/>
  <c r="F70" i="1"/>
  <c r="G70" i="1"/>
  <c r="H70" i="1"/>
  <c r="F71" i="1"/>
  <c r="G71" i="1"/>
  <c r="H71" i="1"/>
  <c r="N66" i="1"/>
  <c r="N67" i="1"/>
  <c r="N68" i="1"/>
  <c r="N69" i="1"/>
  <c r="N70" i="1"/>
  <c r="N71" i="1"/>
  <c r="F62" i="1"/>
  <c r="G62" i="1"/>
  <c r="H62" i="1"/>
  <c r="F63" i="1"/>
  <c r="G63" i="1"/>
  <c r="H63" i="1"/>
  <c r="F64" i="1"/>
  <c r="G64" i="1"/>
  <c r="H64" i="1"/>
  <c r="F65" i="1"/>
  <c r="G65" i="1"/>
  <c r="H65" i="1"/>
  <c r="N62" i="1"/>
  <c r="N63" i="1"/>
  <c r="N64" i="1"/>
  <c r="N65" i="1"/>
  <c r="N61" i="1"/>
  <c r="F61" i="1"/>
  <c r="G61" i="1"/>
  <c r="H61" i="1"/>
  <c r="F55" i="1"/>
  <c r="G55" i="1"/>
  <c r="H55" i="1"/>
  <c r="F56" i="1"/>
  <c r="G56" i="1"/>
  <c r="H56" i="1"/>
  <c r="F57" i="1"/>
  <c r="G57" i="1"/>
  <c r="H57" i="1"/>
  <c r="F58" i="1"/>
  <c r="G58" i="1"/>
  <c r="H58" i="1"/>
  <c r="F59" i="1"/>
  <c r="G59" i="1"/>
  <c r="H59" i="1"/>
  <c r="F60" i="1"/>
  <c r="G60" i="1"/>
  <c r="H60" i="1"/>
  <c r="F49" i="1"/>
  <c r="G49" i="1"/>
  <c r="H49" i="1"/>
  <c r="F50" i="1"/>
  <c r="G50" i="1"/>
  <c r="H50" i="1"/>
  <c r="F51" i="1"/>
  <c r="G51" i="1"/>
  <c r="H51" i="1"/>
  <c r="F52" i="1"/>
  <c r="G52" i="1"/>
  <c r="H52" i="1"/>
  <c r="F53" i="1"/>
  <c r="G53" i="1"/>
  <c r="H53" i="1"/>
  <c r="F54" i="1"/>
  <c r="G54" i="1"/>
  <c r="H54" i="1"/>
  <c r="N49" i="1"/>
  <c r="N50" i="1"/>
  <c r="N51" i="1"/>
  <c r="N52" i="1"/>
  <c r="N53" i="1"/>
  <c r="N54" i="1"/>
  <c r="F44" i="1"/>
  <c r="G44" i="1"/>
  <c r="H44" i="1"/>
  <c r="F45" i="1"/>
  <c r="G45" i="1"/>
  <c r="H45" i="1"/>
  <c r="F46" i="1"/>
  <c r="G46" i="1"/>
  <c r="H46" i="1"/>
  <c r="F47" i="1"/>
  <c r="G47" i="1"/>
  <c r="H47" i="1"/>
  <c r="F48" i="1"/>
  <c r="G48" i="1"/>
  <c r="H48" i="1"/>
  <c r="N44" i="1"/>
  <c r="N45" i="1"/>
  <c r="N46" i="1"/>
  <c r="N47" i="1"/>
  <c r="N48" i="1"/>
  <c r="F39" i="1"/>
  <c r="G39" i="1"/>
  <c r="H39" i="1"/>
  <c r="F40" i="1"/>
  <c r="G40" i="1"/>
  <c r="H40" i="1"/>
  <c r="F41" i="1"/>
  <c r="G41" i="1"/>
  <c r="H41" i="1"/>
  <c r="F42" i="1"/>
  <c r="G42" i="1"/>
  <c r="H42" i="1"/>
  <c r="F43" i="1"/>
  <c r="G43" i="1"/>
  <c r="H43" i="1"/>
  <c r="N39" i="1"/>
  <c r="N40" i="1"/>
  <c r="N41" i="1"/>
  <c r="N42" i="1"/>
  <c r="N43" i="1"/>
  <c r="N38" i="1"/>
  <c r="F38" i="1"/>
  <c r="G38" i="1"/>
  <c r="H38" i="1"/>
  <c r="F3" i="1"/>
  <c r="G3" i="1"/>
  <c r="H3" i="1"/>
  <c r="F4" i="1"/>
  <c r="G4" i="1"/>
  <c r="H4" i="1"/>
  <c r="F5" i="1"/>
  <c r="G5" i="1"/>
  <c r="H5" i="1"/>
  <c r="F6" i="1"/>
  <c r="G6" i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F27" i="1"/>
  <c r="G27" i="1"/>
  <c r="H27" i="1"/>
  <c r="F28" i="1"/>
  <c r="G28" i="1"/>
  <c r="H28" i="1"/>
  <c r="F29" i="1"/>
  <c r="G29" i="1"/>
  <c r="H29" i="1"/>
  <c r="F30" i="1"/>
  <c r="G30" i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/>
  <c r="H36" i="1"/>
  <c r="F37" i="1"/>
  <c r="G37" i="1"/>
  <c r="H37" i="1"/>
  <c r="H2" i="1"/>
  <c r="G2" i="1"/>
  <c r="F2" i="1"/>
</calcChain>
</file>

<file path=xl/sharedStrings.xml><?xml version="1.0" encoding="utf-8"?>
<sst xmlns="http://schemas.openxmlformats.org/spreadsheetml/2006/main" count="2677" uniqueCount="98">
  <si>
    <t>Sl No</t>
  </si>
  <si>
    <t>Test Details</t>
  </si>
  <si>
    <t>Requestor</t>
  </si>
  <si>
    <t>Project</t>
  </si>
  <si>
    <t>Tyre Size</t>
  </si>
  <si>
    <t>SW, mm</t>
  </si>
  <si>
    <t>AR</t>
  </si>
  <si>
    <t>Rim dia, inch</t>
  </si>
  <si>
    <t>Brand</t>
  </si>
  <si>
    <t>Pattern</t>
  </si>
  <si>
    <t>Tread cmpd</t>
  </si>
  <si>
    <t>Group</t>
  </si>
  <si>
    <t>Rim Width, inch</t>
  </si>
  <si>
    <t>Test Load, 
N</t>
  </si>
  <si>
    <t>Test IP, kPa</t>
  </si>
  <si>
    <t>Test Speed, kmph</t>
  </si>
  <si>
    <t>Trial No</t>
  </si>
  <si>
    <r>
      <t>µ</t>
    </r>
    <r>
      <rPr>
        <b/>
        <vertAlign val="subscript"/>
        <sz val="10"/>
        <color theme="1"/>
        <rFont val="Cambria"/>
        <family val="1"/>
      </rPr>
      <t>peak</t>
    </r>
  </si>
  <si>
    <r>
      <t>SR @ µ</t>
    </r>
    <r>
      <rPr>
        <b/>
        <vertAlign val="subscript"/>
        <sz val="10"/>
        <color theme="1"/>
        <rFont val="Cambria"/>
        <family val="1"/>
      </rPr>
      <t>peak</t>
    </r>
  </si>
  <si>
    <r>
      <t>µ</t>
    </r>
    <r>
      <rPr>
        <b/>
        <vertAlign val="subscript"/>
        <sz val="10"/>
        <color theme="1"/>
        <rFont val="Cambria"/>
        <family val="1"/>
      </rPr>
      <t>lock</t>
    </r>
  </si>
  <si>
    <t>Test date</t>
  </si>
  <si>
    <t>Mu Slip - Wet</t>
  </si>
  <si>
    <t>Priyadarsheini</t>
  </si>
  <si>
    <t>OE Requirement - Toyata 840D Project - Loop 5</t>
  </si>
  <si>
    <t>225/50R18 95V</t>
  </si>
  <si>
    <t>GOODYEAR</t>
  </si>
  <si>
    <t>ASSURANCE TRIPLEMAXX</t>
  </si>
  <si>
    <t>NA</t>
  </si>
  <si>
    <t>BM</t>
  </si>
  <si>
    <t>Mu Slip - Dry</t>
  </si>
  <si>
    <t>225/50R19 96V</t>
  </si>
  <si>
    <t>Apollo</t>
  </si>
  <si>
    <t>ASPIRE 5</t>
  </si>
  <si>
    <t>ST540T</t>
  </si>
  <si>
    <t>5C</t>
  </si>
  <si>
    <t>ST540</t>
  </si>
  <si>
    <t>5A</t>
  </si>
  <si>
    <t>Jeer Shri Ram</t>
  </si>
  <si>
    <t>Internal Requirement - ANexx Compound Trials</t>
  </si>
  <si>
    <t>205/65R16 95S</t>
  </si>
  <si>
    <t>APTERRA HLs</t>
  </si>
  <si>
    <t>ST398</t>
  </si>
  <si>
    <t>Regular</t>
  </si>
  <si>
    <t>ST398M</t>
  </si>
  <si>
    <t>Trial</t>
  </si>
  <si>
    <t>205/55R16 95H</t>
  </si>
  <si>
    <t>Alnac 4G</t>
  </si>
  <si>
    <t>ST446</t>
  </si>
  <si>
    <t>ST446M</t>
  </si>
  <si>
    <t>215/60R17 96H</t>
  </si>
  <si>
    <t>APTERRA CROSS</t>
  </si>
  <si>
    <t>ST418</t>
  </si>
  <si>
    <t>ST418M</t>
  </si>
  <si>
    <t>OE Requirement - Toyata 840D Project - Loop 4</t>
  </si>
  <si>
    <t>4A</t>
  </si>
  <si>
    <t>Jegannathan</t>
  </si>
  <si>
    <t>OE Requirement - MSIL Y17 Project</t>
  </si>
  <si>
    <t>CEAT</t>
  </si>
  <si>
    <t>SECURA DRIVE SD004</t>
  </si>
  <si>
    <t>ST412</t>
  </si>
  <si>
    <t>OE Requirement - Toyata 840D Project - Loop 3</t>
  </si>
  <si>
    <t>3B</t>
  </si>
  <si>
    <t>ST604</t>
  </si>
  <si>
    <t>3C</t>
  </si>
  <si>
    <t>ST498</t>
  </si>
  <si>
    <t>3A</t>
  </si>
  <si>
    <t>OE Requirement - Toyata 840D Project - Loop 1</t>
  </si>
  <si>
    <t>1A</t>
  </si>
  <si>
    <t>1C</t>
  </si>
  <si>
    <t>Aparna V</t>
  </si>
  <si>
    <t>OE Requirement - Hyundai Ai4 Project</t>
  </si>
  <si>
    <t>185/65R15 88H</t>
  </si>
  <si>
    <r>
      <t>BRIDG</t>
    </r>
    <r>
      <rPr>
        <b/>
        <sz val="10"/>
        <color theme="1"/>
        <rFont val="Cambria"/>
        <family val="1"/>
      </rPr>
      <t>ES</t>
    </r>
    <r>
      <rPr>
        <sz val="10"/>
        <color theme="1"/>
        <rFont val="Cambria"/>
        <family val="1"/>
      </rPr>
      <t>TONE</t>
    </r>
  </si>
  <si>
    <t>ECOPIA EP150</t>
  </si>
  <si>
    <t>Alnac 5</t>
  </si>
  <si>
    <t>ST516</t>
  </si>
  <si>
    <t>A1</t>
  </si>
  <si>
    <t>A2</t>
  </si>
  <si>
    <t>OE Requirement - Hyundai BC4i Project</t>
  </si>
  <si>
    <t>215/55R17 94V</t>
  </si>
  <si>
    <t>NEXEN</t>
  </si>
  <si>
    <t>NFERA SU1</t>
  </si>
  <si>
    <t>1I</t>
  </si>
  <si>
    <t>IG</t>
  </si>
  <si>
    <t>205/65R16 95H</t>
  </si>
  <si>
    <t>ST362</t>
  </si>
  <si>
    <t>1K</t>
  </si>
  <si>
    <t>Internal Requirement - Compound Standardization</t>
  </si>
  <si>
    <t>225/55R18 102Y XL</t>
  </si>
  <si>
    <t>VREDESTEIN</t>
  </si>
  <si>
    <t>ULTRAC VORTI-i</t>
  </si>
  <si>
    <t>ST552</t>
  </si>
  <si>
    <t>ST618</t>
  </si>
  <si>
    <t>T1</t>
  </si>
  <si>
    <t>ST620</t>
  </si>
  <si>
    <t>T2</t>
  </si>
  <si>
    <t>ST622</t>
  </si>
  <si>
    <t>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</si>
</sst>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vertAlign val="subscript"/>
      <sz val="10"/>
      <color theme="1"/>
      <name val="Cambria"/>
      <family val="1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5" fillId="0" borderId="0" xfId="0" applyFont="1" applyAlignment="1">
      <alignment horizontal="left" vertical="center" indent="1"/>
    </xf>
    <xf numFmtId="165" fontId="5" fillId="0" borderId="0" xfId="0" applyNumberFormat="1" applyFont="1" applyAlignment="1">
      <alignment horizontal="left" vertical="center" indent="1"/>
    </xf>
    <xf numFmtId="164" fontId="5" fillId="0" borderId="0" xfId="0" applyNumberFormat="1" applyFont="1" applyAlignment="1">
      <alignment horizontal="left" vertical="center" indent="1"/>
    </xf>
    <xf numFmtId="166" fontId="5" fillId="0" borderId="0" xfId="1" applyNumberFormat="1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indent="1"/>
    </xf>
    <xf numFmtId="15" fontId="5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3"/>
  <sheetViews>
    <sheetView tabSelected="1" topLeftCell="B1" workbookViewId="0">
      <selection activeCell="Q19" sqref="Q19"/>
    </sheetView>
  </sheetViews>
  <sheetFormatPr defaultRowHeight="14.25"/>
  <cols>
    <col min="1" max="1" width="7.28515625" style="8" customWidth="1"/>
    <col min="2" max="2" width="14.7109375" style="1" bestFit="1" customWidth="1"/>
    <col min="3" max="3" width="14.42578125" style="1" customWidth="1"/>
    <col min="4" max="4" width="42.85546875" style="1" bestFit="1" customWidth="1"/>
    <col min="5" max="5" width="18.42578125" style="1" bestFit="1" customWidth="1"/>
    <col min="6" max="7" width="6.7109375" style="1" customWidth="1"/>
    <col min="8" max="8" width="8.140625" style="1" customWidth="1"/>
    <col min="9" max="9" width="14.28515625" style="1" bestFit="1" customWidth="1"/>
    <col min="10" max="10" width="28.140625" style="1" customWidth="1"/>
    <col min="11" max="11" width="11.140625" style="1" bestFit="1" customWidth="1"/>
    <col min="12" max="12" width="9.140625" style="1"/>
    <col min="13" max="13" width="9.7109375" style="2" customWidth="1"/>
    <col min="14" max="14" width="10.28515625" style="5" customWidth="1"/>
    <col min="15" max="15" width="9.28515625" style="1" bestFit="1" customWidth="1"/>
    <col min="16" max="16" width="12" style="1" customWidth="1"/>
    <col min="17" max="17" width="6.5703125" style="1" customWidth="1"/>
    <col min="18" max="18" width="9.28515625" style="3" bestFit="1" customWidth="1"/>
    <col min="19" max="19" width="10.5703125" style="4" bestFit="1" customWidth="1"/>
    <col min="20" max="20" width="10.42578125" style="3" customWidth="1"/>
    <col min="21" max="21" width="12.85546875" style="9" bestFit="1" customWidth="1"/>
    <col min="22" max="16384" width="9.140625" style="8"/>
  </cols>
  <sheetData>
    <row r="1" spans="1:21" ht="38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7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 s="1" customFormat="1" ht="12.75">
      <c r="A2" s="1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tr">
        <f>LEFT(E2,3)</f>
        <v>225</v>
      </c>
      <c r="G2" s="1" t="str">
        <f>MID(E2,5,2)</f>
        <v>50</v>
      </c>
      <c r="H2" s="1" t="str">
        <f>MID(E2,8,2)</f>
        <v>18</v>
      </c>
      <c r="I2" s="1" t="s">
        <v>25</v>
      </c>
      <c r="J2" s="1" t="s">
        <v>26</v>
      </c>
      <c r="K2" s="1" t="s">
        <v>27</v>
      </c>
      <c r="L2" s="1" t="s">
        <v>28</v>
      </c>
      <c r="M2" s="2">
        <v>7</v>
      </c>
      <c r="N2" s="1">
        <v>6000</v>
      </c>
      <c r="O2" s="1">
        <v>200</v>
      </c>
      <c r="P2" s="1">
        <v>64</v>
      </c>
      <c r="Q2" s="1">
        <v>1</v>
      </c>
      <c r="R2" s="3">
        <v>0.79804046892640179</v>
      </c>
      <c r="S2" s="4">
        <v>0.1381516287006522</v>
      </c>
      <c r="T2" s="3">
        <v>0.47780089266949027</v>
      </c>
      <c r="U2" s="9">
        <v>46057</v>
      </c>
    </row>
    <row r="3" spans="1:21" s="1" customFormat="1" ht="12.75">
      <c r="A3" s="1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tr">
        <f t="shared" ref="F3:F66" si="0">LEFT(E3,3)</f>
        <v>225</v>
      </c>
      <c r="G3" s="1" t="str">
        <f t="shared" ref="G3:G38" si="1">MID(E3,5,2)</f>
        <v>50</v>
      </c>
      <c r="H3" s="1" t="str">
        <f t="shared" ref="H3:H38" si="2">MID(E3,8,2)</f>
        <v>18</v>
      </c>
      <c r="I3" s="1" t="s">
        <v>25</v>
      </c>
      <c r="J3" s="1" t="s">
        <v>26</v>
      </c>
      <c r="K3" s="1" t="s">
        <v>27</v>
      </c>
      <c r="L3" s="1" t="s">
        <v>28</v>
      </c>
      <c r="M3" s="2">
        <v>7</v>
      </c>
      <c r="N3" s="1">
        <v>6000</v>
      </c>
      <c r="O3" s="1">
        <v>200</v>
      </c>
      <c r="P3" s="1">
        <v>64</v>
      </c>
      <c r="Q3" s="1">
        <v>2</v>
      </c>
      <c r="R3" s="3">
        <v>0.75745689169675257</v>
      </c>
      <c r="S3" s="4">
        <v>0.2004179256515225</v>
      </c>
      <c r="T3" s="3">
        <v>0.43499569844442781</v>
      </c>
      <c r="U3" s="9">
        <v>46057</v>
      </c>
    </row>
    <row r="4" spans="1:21" s="1" customFormat="1" ht="12.75">
      <c r="A4" s="1">
        <v>3</v>
      </c>
      <c r="B4" s="1" t="s">
        <v>21</v>
      </c>
      <c r="C4" s="1" t="s">
        <v>22</v>
      </c>
      <c r="D4" s="1" t="s">
        <v>23</v>
      </c>
      <c r="E4" s="1" t="s">
        <v>24</v>
      </c>
      <c r="F4" s="1" t="str">
        <f t="shared" si="0"/>
        <v>225</v>
      </c>
      <c r="G4" s="1" t="str">
        <f t="shared" si="1"/>
        <v>50</v>
      </c>
      <c r="H4" s="1" t="str">
        <f t="shared" si="2"/>
        <v>18</v>
      </c>
      <c r="I4" s="1" t="s">
        <v>25</v>
      </c>
      <c r="J4" s="1" t="s">
        <v>26</v>
      </c>
      <c r="K4" s="1" t="s">
        <v>27</v>
      </c>
      <c r="L4" s="1" t="s">
        <v>28</v>
      </c>
      <c r="M4" s="2">
        <v>7</v>
      </c>
      <c r="N4" s="1">
        <v>6000</v>
      </c>
      <c r="O4" s="1">
        <v>200</v>
      </c>
      <c r="P4" s="1">
        <v>64</v>
      </c>
      <c r="Q4" s="1">
        <v>3</v>
      </c>
      <c r="R4" s="3">
        <v>0.82622931807771349</v>
      </c>
      <c r="S4" s="4">
        <v>9.4249566550487579E-2</v>
      </c>
      <c r="T4" s="3">
        <v>0.51938090446555574</v>
      </c>
      <c r="U4" s="9">
        <v>46057</v>
      </c>
    </row>
    <row r="5" spans="1:21" s="1" customFormat="1" ht="12.75">
      <c r="A5" s="1">
        <v>4</v>
      </c>
      <c r="B5" s="1" t="s">
        <v>21</v>
      </c>
      <c r="C5" s="1" t="s">
        <v>22</v>
      </c>
      <c r="D5" s="1" t="s">
        <v>23</v>
      </c>
      <c r="E5" s="1" t="s">
        <v>24</v>
      </c>
      <c r="F5" s="1" t="str">
        <f t="shared" si="0"/>
        <v>225</v>
      </c>
      <c r="G5" s="1" t="str">
        <f t="shared" si="1"/>
        <v>50</v>
      </c>
      <c r="H5" s="1" t="str">
        <f t="shared" si="2"/>
        <v>18</v>
      </c>
      <c r="I5" s="1" t="s">
        <v>25</v>
      </c>
      <c r="J5" s="1" t="s">
        <v>26</v>
      </c>
      <c r="K5" s="1" t="s">
        <v>27</v>
      </c>
      <c r="L5" s="1" t="s">
        <v>28</v>
      </c>
      <c r="M5" s="2">
        <v>7</v>
      </c>
      <c r="N5" s="1">
        <v>6000</v>
      </c>
      <c r="O5" s="1">
        <v>200</v>
      </c>
      <c r="P5" s="1">
        <v>64</v>
      </c>
      <c r="Q5" s="1">
        <v>4</v>
      </c>
      <c r="R5" s="3">
        <v>0.78926290657428122</v>
      </c>
      <c r="S5" s="4">
        <v>6.7221010741963794E-2</v>
      </c>
      <c r="T5" s="3">
        <v>0.42339376816223112</v>
      </c>
      <c r="U5" s="9">
        <v>46057</v>
      </c>
    </row>
    <row r="6" spans="1:21" s="1" customFormat="1" ht="12.75">
      <c r="A6" s="1">
        <v>5</v>
      </c>
      <c r="B6" s="1" t="s">
        <v>21</v>
      </c>
      <c r="C6" s="1" t="s">
        <v>22</v>
      </c>
      <c r="D6" s="1" t="s">
        <v>23</v>
      </c>
      <c r="E6" s="1" t="s">
        <v>24</v>
      </c>
      <c r="F6" s="1" t="str">
        <f t="shared" si="0"/>
        <v>225</v>
      </c>
      <c r="G6" s="1" t="str">
        <f t="shared" si="1"/>
        <v>50</v>
      </c>
      <c r="H6" s="1" t="str">
        <f t="shared" si="2"/>
        <v>18</v>
      </c>
      <c r="I6" s="1" t="s">
        <v>25</v>
      </c>
      <c r="J6" s="1" t="s">
        <v>26</v>
      </c>
      <c r="K6" s="1" t="s">
        <v>27</v>
      </c>
      <c r="L6" s="1" t="s">
        <v>28</v>
      </c>
      <c r="M6" s="2">
        <v>7</v>
      </c>
      <c r="N6" s="1">
        <v>6000</v>
      </c>
      <c r="O6" s="1">
        <v>200</v>
      </c>
      <c r="P6" s="1">
        <v>64</v>
      </c>
      <c r="Q6" s="1">
        <v>5</v>
      </c>
      <c r="R6" s="3">
        <v>0.77105926182347329</v>
      </c>
      <c r="S6" s="4">
        <v>9.1993030456281683E-2</v>
      </c>
      <c r="T6" s="3">
        <v>0.4823688220760457</v>
      </c>
      <c r="U6" s="9">
        <v>46057</v>
      </c>
    </row>
    <row r="7" spans="1:21" s="1" customFormat="1" ht="12.75">
      <c r="A7" s="1">
        <v>6</v>
      </c>
      <c r="B7" s="1" t="s">
        <v>21</v>
      </c>
      <c r="C7" s="1" t="s">
        <v>22</v>
      </c>
      <c r="D7" s="1" t="s">
        <v>23</v>
      </c>
      <c r="E7" s="1" t="s">
        <v>24</v>
      </c>
      <c r="F7" s="1" t="str">
        <f t="shared" si="0"/>
        <v>225</v>
      </c>
      <c r="G7" s="1" t="str">
        <f t="shared" si="1"/>
        <v>50</v>
      </c>
      <c r="H7" s="1" t="str">
        <f t="shared" si="2"/>
        <v>18</v>
      </c>
      <c r="I7" s="1" t="s">
        <v>25</v>
      </c>
      <c r="J7" s="1" t="s">
        <v>26</v>
      </c>
      <c r="K7" s="1" t="s">
        <v>27</v>
      </c>
      <c r="L7" s="1" t="s">
        <v>28</v>
      </c>
      <c r="M7" s="2">
        <v>7</v>
      </c>
      <c r="N7" s="1">
        <v>6000</v>
      </c>
      <c r="O7" s="1">
        <v>200</v>
      </c>
      <c r="P7" s="1">
        <v>64</v>
      </c>
      <c r="Q7" s="1">
        <v>6</v>
      </c>
      <c r="R7" s="3">
        <v>0.7887090850029892</v>
      </c>
      <c r="S7" s="4">
        <v>0.1462507875350868</v>
      </c>
      <c r="T7" s="3">
        <v>0.49905543257840779</v>
      </c>
      <c r="U7" s="9">
        <v>46057</v>
      </c>
    </row>
    <row r="8" spans="1:21" s="1" customFormat="1" ht="12.75">
      <c r="A8" s="1">
        <v>7</v>
      </c>
      <c r="B8" s="1" t="s">
        <v>29</v>
      </c>
      <c r="C8" s="1" t="s">
        <v>22</v>
      </c>
      <c r="D8" s="1" t="s">
        <v>23</v>
      </c>
      <c r="E8" s="1" t="s">
        <v>24</v>
      </c>
      <c r="F8" s="1" t="str">
        <f t="shared" si="0"/>
        <v>225</v>
      </c>
      <c r="G8" s="1" t="str">
        <f t="shared" si="1"/>
        <v>50</v>
      </c>
      <c r="H8" s="1" t="str">
        <f t="shared" si="2"/>
        <v>18</v>
      </c>
      <c r="I8" s="1" t="s">
        <v>25</v>
      </c>
      <c r="J8" s="1" t="s">
        <v>26</v>
      </c>
      <c r="K8" s="1" t="s">
        <v>27</v>
      </c>
      <c r="L8" s="1" t="s">
        <v>28</v>
      </c>
      <c r="M8" s="2">
        <v>7</v>
      </c>
      <c r="N8" s="1">
        <v>6000</v>
      </c>
      <c r="O8" s="1">
        <v>200</v>
      </c>
      <c r="P8" s="1">
        <v>64</v>
      </c>
      <c r="Q8" s="1">
        <v>1</v>
      </c>
      <c r="R8" s="3">
        <v>0.98868169426696517</v>
      </c>
      <c r="S8" s="4">
        <v>0.21878983961520901</v>
      </c>
      <c r="T8" s="3">
        <v>0.71707066012182341</v>
      </c>
      <c r="U8" s="9">
        <v>46057</v>
      </c>
    </row>
    <row r="9" spans="1:21" s="1" customFormat="1" ht="12.75">
      <c r="A9" s="1">
        <v>8</v>
      </c>
      <c r="B9" s="1" t="s">
        <v>29</v>
      </c>
      <c r="C9" s="1" t="s">
        <v>22</v>
      </c>
      <c r="D9" s="1" t="s">
        <v>23</v>
      </c>
      <c r="E9" s="1" t="s">
        <v>24</v>
      </c>
      <c r="F9" s="1" t="str">
        <f t="shared" si="0"/>
        <v>225</v>
      </c>
      <c r="G9" s="1" t="str">
        <f t="shared" si="1"/>
        <v>50</v>
      </c>
      <c r="H9" s="1" t="str">
        <f t="shared" si="2"/>
        <v>18</v>
      </c>
      <c r="I9" s="1" t="s">
        <v>25</v>
      </c>
      <c r="J9" s="1" t="s">
        <v>26</v>
      </c>
      <c r="K9" s="1" t="s">
        <v>27</v>
      </c>
      <c r="L9" s="1" t="s">
        <v>28</v>
      </c>
      <c r="M9" s="2">
        <v>7</v>
      </c>
      <c r="N9" s="1">
        <v>6000</v>
      </c>
      <c r="O9" s="1">
        <v>200</v>
      </c>
      <c r="P9" s="1">
        <v>64</v>
      </c>
      <c r="Q9" s="1">
        <v>2</v>
      </c>
      <c r="R9" s="3">
        <v>1.0129191535736941</v>
      </c>
      <c r="S9" s="4">
        <v>0.1477547983266651</v>
      </c>
      <c r="T9" s="3">
        <v>0.7213444232526327</v>
      </c>
      <c r="U9" s="9">
        <v>46057</v>
      </c>
    </row>
    <row r="10" spans="1:21" s="1" customFormat="1" ht="12.75">
      <c r="A10" s="1">
        <v>9</v>
      </c>
      <c r="B10" s="1" t="s">
        <v>29</v>
      </c>
      <c r="C10" s="1" t="s">
        <v>22</v>
      </c>
      <c r="D10" s="1" t="s">
        <v>23</v>
      </c>
      <c r="E10" s="1" t="s">
        <v>24</v>
      </c>
      <c r="F10" s="1" t="str">
        <f t="shared" si="0"/>
        <v>225</v>
      </c>
      <c r="G10" s="1" t="str">
        <f t="shared" si="1"/>
        <v>50</v>
      </c>
      <c r="H10" s="1" t="str">
        <f t="shared" si="2"/>
        <v>18</v>
      </c>
      <c r="I10" s="1" t="s">
        <v>25</v>
      </c>
      <c r="J10" s="1" t="s">
        <v>26</v>
      </c>
      <c r="K10" s="1" t="s">
        <v>27</v>
      </c>
      <c r="L10" s="1" t="s">
        <v>28</v>
      </c>
      <c r="M10" s="2">
        <v>7</v>
      </c>
      <c r="N10" s="1">
        <v>6000</v>
      </c>
      <c r="O10" s="1">
        <v>200</v>
      </c>
      <c r="P10" s="1">
        <v>64</v>
      </c>
      <c r="Q10" s="1">
        <v>3</v>
      </c>
      <c r="R10" s="3">
        <v>1.0550009135026921</v>
      </c>
      <c r="S10" s="4">
        <v>0.1075144984893683</v>
      </c>
      <c r="T10" s="3">
        <v>0.6622652140918992</v>
      </c>
      <c r="U10" s="9">
        <v>46057</v>
      </c>
    </row>
    <row r="11" spans="1:21" s="1" customFormat="1" ht="12.75">
      <c r="A11" s="1">
        <v>10</v>
      </c>
      <c r="B11" s="1" t="s">
        <v>29</v>
      </c>
      <c r="C11" s="1" t="s">
        <v>22</v>
      </c>
      <c r="D11" s="1" t="s">
        <v>23</v>
      </c>
      <c r="E11" s="1" t="s">
        <v>24</v>
      </c>
      <c r="F11" s="1" t="str">
        <f t="shared" si="0"/>
        <v>225</v>
      </c>
      <c r="G11" s="1" t="str">
        <f t="shared" si="1"/>
        <v>50</v>
      </c>
      <c r="H11" s="1" t="str">
        <f t="shared" si="2"/>
        <v>18</v>
      </c>
      <c r="I11" s="1" t="s">
        <v>25</v>
      </c>
      <c r="J11" s="1" t="s">
        <v>26</v>
      </c>
      <c r="K11" s="1" t="s">
        <v>27</v>
      </c>
      <c r="L11" s="1" t="s">
        <v>28</v>
      </c>
      <c r="M11" s="2">
        <v>7</v>
      </c>
      <c r="N11" s="1">
        <v>6000</v>
      </c>
      <c r="O11" s="1">
        <v>200</v>
      </c>
      <c r="P11" s="1">
        <v>64</v>
      </c>
      <c r="Q11" s="1">
        <v>4</v>
      </c>
      <c r="R11" s="3">
        <v>0.97228820315177578</v>
      </c>
      <c r="S11" s="4">
        <v>0.22921716374642839</v>
      </c>
      <c r="T11" s="3">
        <v>0.68385599527782437</v>
      </c>
      <c r="U11" s="9">
        <v>46057</v>
      </c>
    </row>
    <row r="12" spans="1:21" s="1" customFormat="1" ht="12.75">
      <c r="A12" s="1">
        <v>11</v>
      </c>
      <c r="B12" s="1" t="s">
        <v>29</v>
      </c>
      <c r="C12" s="1" t="s">
        <v>22</v>
      </c>
      <c r="D12" s="1" t="s">
        <v>23</v>
      </c>
      <c r="E12" s="1" t="s">
        <v>24</v>
      </c>
      <c r="F12" s="1" t="str">
        <f t="shared" si="0"/>
        <v>225</v>
      </c>
      <c r="G12" s="1" t="str">
        <f t="shared" si="1"/>
        <v>50</v>
      </c>
      <c r="H12" s="1" t="str">
        <f t="shared" si="2"/>
        <v>18</v>
      </c>
      <c r="I12" s="1" t="s">
        <v>25</v>
      </c>
      <c r="J12" s="1" t="s">
        <v>26</v>
      </c>
      <c r="K12" s="1" t="s">
        <v>27</v>
      </c>
      <c r="L12" s="1" t="s">
        <v>28</v>
      </c>
      <c r="M12" s="2">
        <v>7</v>
      </c>
      <c r="N12" s="1">
        <v>6000</v>
      </c>
      <c r="O12" s="1">
        <v>200</v>
      </c>
      <c r="P12" s="1">
        <v>64</v>
      </c>
      <c r="Q12" s="1">
        <v>5</v>
      </c>
      <c r="R12" s="3">
        <v>0.91431170174880272</v>
      </c>
      <c r="S12" s="4">
        <v>0.22772553551281599</v>
      </c>
      <c r="T12" s="3">
        <v>0.7409813921694044</v>
      </c>
      <c r="U12" s="9">
        <v>46057</v>
      </c>
    </row>
    <row r="13" spans="1:21" s="1" customFormat="1" ht="12.75">
      <c r="A13" s="1">
        <v>12</v>
      </c>
      <c r="B13" s="1" t="s">
        <v>29</v>
      </c>
      <c r="C13" s="1" t="s">
        <v>22</v>
      </c>
      <c r="D13" s="1" t="s">
        <v>23</v>
      </c>
      <c r="E13" s="1" t="s">
        <v>24</v>
      </c>
      <c r="F13" s="1" t="str">
        <f t="shared" si="0"/>
        <v>225</v>
      </c>
      <c r="G13" s="1" t="str">
        <f t="shared" si="1"/>
        <v>50</v>
      </c>
      <c r="H13" s="1" t="str">
        <f t="shared" si="2"/>
        <v>18</v>
      </c>
      <c r="I13" s="1" t="s">
        <v>25</v>
      </c>
      <c r="J13" s="1" t="s">
        <v>26</v>
      </c>
      <c r="K13" s="1" t="s">
        <v>27</v>
      </c>
      <c r="L13" s="1" t="s">
        <v>28</v>
      </c>
      <c r="M13" s="2">
        <v>7</v>
      </c>
      <c r="N13" s="1">
        <v>6000</v>
      </c>
      <c r="O13" s="1">
        <v>200</v>
      </c>
      <c r="P13" s="1">
        <v>64</v>
      </c>
      <c r="Q13" s="1">
        <v>6</v>
      </c>
      <c r="R13" s="3">
        <v>0.93845479353979666</v>
      </c>
      <c r="S13" s="4">
        <v>0.18998966417370969</v>
      </c>
      <c r="T13" s="3">
        <v>0.6710562303489942</v>
      </c>
      <c r="U13" s="9">
        <v>46057</v>
      </c>
    </row>
    <row r="14" spans="1:21" s="1" customFormat="1" ht="12.75">
      <c r="A14" s="1">
        <v>13</v>
      </c>
      <c r="B14" s="1" t="s">
        <v>21</v>
      </c>
      <c r="C14" s="1" t="s">
        <v>22</v>
      </c>
      <c r="D14" s="1" t="s">
        <v>23</v>
      </c>
      <c r="E14" s="1" t="s">
        <v>30</v>
      </c>
      <c r="F14" s="1" t="str">
        <f t="shared" si="0"/>
        <v>225</v>
      </c>
      <c r="G14" s="1" t="str">
        <f t="shared" si="1"/>
        <v>50</v>
      </c>
      <c r="H14" s="1" t="str">
        <f t="shared" si="2"/>
        <v>19</v>
      </c>
      <c r="I14" s="1" t="s">
        <v>31</v>
      </c>
      <c r="J14" s="1" t="s">
        <v>32</v>
      </c>
      <c r="K14" s="1" t="s">
        <v>33</v>
      </c>
      <c r="L14" s="1" t="s">
        <v>34</v>
      </c>
      <c r="M14" s="2">
        <v>7</v>
      </c>
      <c r="N14" s="1">
        <v>6000</v>
      </c>
      <c r="O14" s="1">
        <v>200</v>
      </c>
      <c r="P14" s="1">
        <v>64</v>
      </c>
      <c r="Q14" s="1">
        <v>1</v>
      </c>
      <c r="R14" s="3">
        <v>0.79698886163282878</v>
      </c>
      <c r="S14" s="4">
        <v>0.1232956703136814</v>
      </c>
      <c r="T14" s="3">
        <v>0.44042289153679248</v>
      </c>
      <c r="U14" s="9">
        <v>46057</v>
      </c>
    </row>
    <row r="15" spans="1:21" s="1" customFormat="1" ht="12.75">
      <c r="A15" s="1">
        <v>14</v>
      </c>
      <c r="B15" s="1" t="s">
        <v>21</v>
      </c>
      <c r="C15" s="1" t="s">
        <v>22</v>
      </c>
      <c r="D15" s="1" t="s">
        <v>23</v>
      </c>
      <c r="E15" s="1" t="s">
        <v>30</v>
      </c>
      <c r="F15" s="1" t="str">
        <f t="shared" si="0"/>
        <v>225</v>
      </c>
      <c r="G15" s="1" t="str">
        <f t="shared" si="1"/>
        <v>50</v>
      </c>
      <c r="H15" s="1" t="str">
        <f t="shared" si="2"/>
        <v>19</v>
      </c>
      <c r="I15" s="1" t="s">
        <v>31</v>
      </c>
      <c r="J15" s="1" t="s">
        <v>32</v>
      </c>
      <c r="K15" s="1" t="s">
        <v>33</v>
      </c>
      <c r="L15" s="1" t="s">
        <v>34</v>
      </c>
      <c r="M15" s="2">
        <v>7</v>
      </c>
      <c r="N15" s="1">
        <v>6000</v>
      </c>
      <c r="O15" s="1">
        <v>200</v>
      </c>
      <c r="P15" s="1">
        <v>64</v>
      </c>
      <c r="Q15" s="1">
        <v>2</v>
      </c>
      <c r="R15" s="3">
        <v>0.78935397827033393</v>
      </c>
      <c r="S15" s="4">
        <v>7.4611026045465129E-2</v>
      </c>
      <c r="T15" s="3">
        <v>0.42417652357554358</v>
      </c>
      <c r="U15" s="9">
        <v>46057</v>
      </c>
    </row>
    <row r="16" spans="1:21" s="1" customFormat="1" ht="12.75">
      <c r="A16" s="1">
        <v>15</v>
      </c>
      <c r="B16" s="1" t="s">
        <v>21</v>
      </c>
      <c r="C16" s="1" t="s">
        <v>22</v>
      </c>
      <c r="D16" s="1" t="s">
        <v>23</v>
      </c>
      <c r="E16" s="1" t="s">
        <v>30</v>
      </c>
      <c r="F16" s="1" t="str">
        <f t="shared" si="0"/>
        <v>225</v>
      </c>
      <c r="G16" s="1" t="str">
        <f t="shared" si="1"/>
        <v>50</v>
      </c>
      <c r="H16" s="1" t="str">
        <f t="shared" si="2"/>
        <v>19</v>
      </c>
      <c r="I16" s="1" t="s">
        <v>31</v>
      </c>
      <c r="J16" s="1" t="s">
        <v>32</v>
      </c>
      <c r="K16" s="1" t="s">
        <v>33</v>
      </c>
      <c r="L16" s="1" t="s">
        <v>34</v>
      </c>
      <c r="M16" s="2">
        <v>7</v>
      </c>
      <c r="N16" s="1">
        <v>6000</v>
      </c>
      <c r="O16" s="1">
        <v>200</v>
      </c>
      <c r="P16" s="1">
        <v>64</v>
      </c>
      <c r="Q16" s="1">
        <v>3</v>
      </c>
      <c r="R16" s="3">
        <v>0.76359092018189423</v>
      </c>
      <c r="S16" s="4">
        <v>0.19063482040298749</v>
      </c>
      <c r="T16" s="3">
        <v>0.43323691152194049</v>
      </c>
      <c r="U16" s="9">
        <v>46057</v>
      </c>
    </row>
    <row r="17" spans="1:21" s="1" customFormat="1" ht="12.75">
      <c r="A17" s="1">
        <v>16</v>
      </c>
      <c r="B17" s="1" t="s">
        <v>21</v>
      </c>
      <c r="C17" s="1" t="s">
        <v>22</v>
      </c>
      <c r="D17" s="1" t="s">
        <v>23</v>
      </c>
      <c r="E17" s="1" t="s">
        <v>30</v>
      </c>
      <c r="F17" s="1" t="str">
        <f t="shared" si="0"/>
        <v>225</v>
      </c>
      <c r="G17" s="1" t="str">
        <f t="shared" si="1"/>
        <v>50</v>
      </c>
      <c r="H17" s="1" t="str">
        <f t="shared" si="2"/>
        <v>19</v>
      </c>
      <c r="I17" s="1" t="s">
        <v>31</v>
      </c>
      <c r="J17" s="1" t="s">
        <v>32</v>
      </c>
      <c r="K17" s="1" t="s">
        <v>33</v>
      </c>
      <c r="L17" s="1" t="s">
        <v>34</v>
      </c>
      <c r="M17" s="2">
        <v>7</v>
      </c>
      <c r="N17" s="1">
        <v>6000</v>
      </c>
      <c r="O17" s="1">
        <v>200</v>
      </c>
      <c r="P17" s="1">
        <v>64</v>
      </c>
      <c r="Q17" s="1">
        <v>4</v>
      </c>
      <c r="R17" s="3">
        <v>0.79425058117041358</v>
      </c>
      <c r="S17" s="4">
        <v>7.4710593486490964E-2</v>
      </c>
      <c r="T17" s="3">
        <v>0.4005480316139286</v>
      </c>
      <c r="U17" s="9">
        <v>46057</v>
      </c>
    </row>
    <row r="18" spans="1:21" s="1" customFormat="1" ht="12.75">
      <c r="A18" s="1">
        <v>17</v>
      </c>
      <c r="B18" s="1" t="s">
        <v>21</v>
      </c>
      <c r="C18" s="1" t="s">
        <v>22</v>
      </c>
      <c r="D18" s="1" t="s">
        <v>23</v>
      </c>
      <c r="E18" s="1" t="s">
        <v>30</v>
      </c>
      <c r="F18" s="1" t="str">
        <f t="shared" si="0"/>
        <v>225</v>
      </c>
      <c r="G18" s="1" t="str">
        <f t="shared" si="1"/>
        <v>50</v>
      </c>
      <c r="H18" s="1" t="str">
        <f t="shared" si="2"/>
        <v>19</v>
      </c>
      <c r="I18" s="1" t="s">
        <v>31</v>
      </c>
      <c r="J18" s="1" t="s">
        <v>32</v>
      </c>
      <c r="K18" s="1" t="s">
        <v>33</v>
      </c>
      <c r="L18" s="1" t="s">
        <v>34</v>
      </c>
      <c r="M18" s="2">
        <v>7</v>
      </c>
      <c r="N18" s="1">
        <v>6000</v>
      </c>
      <c r="O18" s="1">
        <v>200</v>
      </c>
      <c r="P18" s="1">
        <v>64</v>
      </c>
      <c r="Q18" s="1">
        <v>5</v>
      </c>
      <c r="R18" s="3">
        <v>0.85786205616796951</v>
      </c>
      <c r="S18" s="4">
        <v>0.1086961969823815</v>
      </c>
      <c r="T18" s="3">
        <v>0.46886844398592742</v>
      </c>
      <c r="U18" s="9">
        <v>46057</v>
      </c>
    </row>
    <row r="19" spans="1:21" s="1" customFormat="1" ht="12.75">
      <c r="A19" s="1">
        <v>18</v>
      </c>
      <c r="B19" s="1" t="s">
        <v>21</v>
      </c>
      <c r="C19" s="1" t="s">
        <v>22</v>
      </c>
      <c r="D19" s="1" t="s">
        <v>23</v>
      </c>
      <c r="E19" s="1" t="s">
        <v>30</v>
      </c>
      <c r="F19" s="1" t="str">
        <f t="shared" si="0"/>
        <v>225</v>
      </c>
      <c r="G19" s="1" t="str">
        <f t="shared" si="1"/>
        <v>50</v>
      </c>
      <c r="H19" s="1" t="str">
        <f t="shared" si="2"/>
        <v>19</v>
      </c>
      <c r="I19" s="1" t="s">
        <v>31</v>
      </c>
      <c r="J19" s="1" t="s">
        <v>32</v>
      </c>
      <c r="K19" s="1" t="s">
        <v>33</v>
      </c>
      <c r="L19" s="1" t="s">
        <v>34</v>
      </c>
      <c r="M19" s="2">
        <v>7</v>
      </c>
      <c r="N19" s="1">
        <v>6000</v>
      </c>
      <c r="O19" s="1">
        <v>200</v>
      </c>
      <c r="P19" s="1">
        <v>64</v>
      </c>
      <c r="Q19" s="1">
        <v>6</v>
      </c>
      <c r="R19" s="3">
        <v>0.80407967365315147</v>
      </c>
      <c r="S19" s="4">
        <v>0.19043176780423191</v>
      </c>
      <c r="T19" s="3">
        <v>0.44378047185501279</v>
      </c>
      <c r="U19" s="9">
        <v>46057</v>
      </c>
    </row>
    <row r="20" spans="1:21" s="1" customFormat="1" ht="12.75">
      <c r="A20" s="1">
        <v>19</v>
      </c>
      <c r="B20" s="1" t="s">
        <v>29</v>
      </c>
      <c r="C20" s="1" t="s">
        <v>22</v>
      </c>
      <c r="D20" s="1" t="s">
        <v>23</v>
      </c>
      <c r="E20" s="1" t="s">
        <v>30</v>
      </c>
      <c r="F20" s="1" t="str">
        <f t="shared" si="0"/>
        <v>225</v>
      </c>
      <c r="G20" s="1" t="str">
        <f t="shared" si="1"/>
        <v>50</v>
      </c>
      <c r="H20" s="1" t="str">
        <f t="shared" si="2"/>
        <v>19</v>
      </c>
      <c r="I20" s="1" t="s">
        <v>31</v>
      </c>
      <c r="J20" s="1" t="s">
        <v>32</v>
      </c>
      <c r="K20" s="1" t="s">
        <v>33</v>
      </c>
      <c r="L20" s="1" t="s">
        <v>34</v>
      </c>
      <c r="M20" s="2">
        <v>7</v>
      </c>
      <c r="N20" s="1">
        <v>6000</v>
      </c>
      <c r="O20" s="1">
        <v>200</v>
      </c>
      <c r="P20" s="1">
        <v>64</v>
      </c>
      <c r="Q20" s="1">
        <v>1</v>
      </c>
      <c r="R20" s="3">
        <v>0.98429902076804177</v>
      </c>
      <c r="S20" s="4">
        <v>0.1365152441034613</v>
      </c>
      <c r="T20" s="3">
        <v>0.61239220031072195</v>
      </c>
      <c r="U20" s="9">
        <v>46057</v>
      </c>
    </row>
    <row r="21" spans="1:21" s="1" customFormat="1" ht="12.75">
      <c r="A21" s="1">
        <v>20</v>
      </c>
      <c r="B21" s="1" t="s">
        <v>29</v>
      </c>
      <c r="C21" s="1" t="s">
        <v>22</v>
      </c>
      <c r="D21" s="1" t="s">
        <v>23</v>
      </c>
      <c r="E21" s="1" t="s">
        <v>30</v>
      </c>
      <c r="F21" s="1" t="str">
        <f t="shared" si="0"/>
        <v>225</v>
      </c>
      <c r="G21" s="1" t="str">
        <f t="shared" si="1"/>
        <v>50</v>
      </c>
      <c r="H21" s="1" t="str">
        <f t="shared" si="2"/>
        <v>19</v>
      </c>
      <c r="I21" s="1" t="s">
        <v>31</v>
      </c>
      <c r="J21" s="1" t="s">
        <v>32</v>
      </c>
      <c r="K21" s="1" t="s">
        <v>33</v>
      </c>
      <c r="L21" s="1" t="s">
        <v>34</v>
      </c>
      <c r="M21" s="2">
        <v>7</v>
      </c>
      <c r="N21" s="1">
        <v>6000</v>
      </c>
      <c r="O21" s="1">
        <v>200</v>
      </c>
      <c r="P21" s="1">
        <v>64</v>
      </c>
      <c r="Q21" s="1">
        <v>2</v>
      </c>
      <c r="R21" s="3">
        <v>0.99014093732272956</v>
      </c>
      <c r="S21" s="4">
        <v>0.1620095073525693</v>
      </c>
      <c r="T21" s="3">
        <v>0.62367641181457656</v>
      </c>
      <c r="U21" s="9">
        <v>46057</v>
      </c>
    </row>
    <row r="22" spans="1:21" s="1" customFormat="1" ht="12.75">
      <c r="A22" s="1">
        <v>21</v>
      </c>
      <c r="B22" s="1" t="s">
        <v>29</v>
      </c>
      <c r="C22" s="1" t="s">
        <v>22</v>
      </c>
      <c r="D22" s="1" t="s">
        <v>23</v>
      </c>
      <c r="E22" s="1" t="s">
        <v>30</v>
      </c>
      <c r="F22" s="1" t="str">
        <f t="shared" si="0"/>
        <v>225</v>
      </c>
      <c r="G22" s="1" t="str">
        <f t="shared" si="1"/>
        <v>50</v>
      </c>
      <c r="H22" s="1" t="str">
        <f t="shared" si="2"/>
        <v>19</v>
      </c>
      <c r="I22" s="1" t="s">
        <v>31</v>
      </c>
      <c r="J22" s="1" t="s">
        <v>32</v>
      </c>
      <c r="K22" s="1" t="s">
        <v>33</v>
      </c>
      <c r="L22" s="1" t="s">
        <v>34</v>
      </c>
      <c r="M22" s="2">
        <v>7</v>
      </c>
      <c r="N22" s="1">
        <v>6000</v>
      </c>
      <c r="O22" s="1">
        <v>200</v>
      </c>
      <c r="P22" s="1">
        <v>64</v>
      </c>
      <c r="Q22" s="1">
        <v>3</v>
      </c>
      <c r="R22" s="3">
        <v>1.0363318888551001</v>
      </c>
      <c r="S22" s="4">
        <v>0.1526486125361807</v>
      </c>
      <c r="T22" s="3">
        <v>0.67282906220664374</v>
      </c>
      <c r="U22" s="9">
        <v>46057</v>
      </c>
    </row>
    <row r="23" spans="1:21" s="1" customFormat="1" ht="12.75">
      <c r="A23" s="1">
        <v>22</v>
      </c>
      <c r="B23" s="1" t="s">
        <v>29</v>
      </c>
      <c r="C23" s="1" t="s">
        <v>22</v>
      </c>
      <c r="D23" s="1" t="s">
        <v>23</v>
      </c>
      <c r="E23" s="1" t="s">
        <v>30</v>
      </c>
      <c r="F23" s="1" t="str">
        <f t="shared" si="0"/>
        <v>225</v>
      </c>
      <c r="G23" s="1" t="str">
        <f t="shared" si="1"/>
        <v>50</v>
      </c>
      <c r="H23" s="1" t="str">
        <f t="shared" si="2"/>
        <v>19</v>
      </c>
      <c r="I23" s="1" t="s">
        <v>31</v>
      </c>
      <c r="J23" s="1" t="s">
        <v>32</v>
      </c>
      <c r="K23" s="1" t="s">
        <v>33</v>
      </c>
      <c r="L23" s="1" t="s">
        <v>34</v>
      </c>
      <c r="M23" s="2">
        <v>7</v>
      </c>
      <c r="N23" s="1">
        <v>6000</v>
      </c>
      <c r="O23" s="1">
        <v>200</v>
      </c>
      <c r="P23" s="1">
        <v>64</v>
      </c>
      <c r="Q23" s="1">
        <v>4</v>
      </c>
      <c r="R23" s="3">
        <v>0.9983796017123151</v>
      </c>
      <c r="S23" s="4">
        <v>0.21322481894369999</v>
      </c>
      <c r="T23" s="3">
        <v>0.61575457750528084</v>
      </c>
      <c r="U23" s="9">
        <v>46057</v>
      </c>
    </row>
    <row r="24" spans="1:21" s="1" customFormat="1" ht="12.75">
      <c r="A24" s="1">
        <v>23</v>
      </c>
      <c r="B24" s="1" t="s">
        <v>29</v>
      </c>
      <c r="C24" s="1" t="s">
        <v>22</v>
      </c>
      <c r="D24" s="1" t="s">
        <v>23</v>
      </c>
      <c r="E24" s="1" t="s">
        <v>30</v>
      </c>
      <c r="F24" s="1" t="str">
        <f t="shared" si="0"/>
        <v>225</v>
      </c>
      <c r="G24" s="1" t="str">
        <f t="shared" si="1"/>
        <v>50</v>
      </c>
      <c r="H24" s="1" t="str">
        <f t="shared" si="2"/>
        <v>19</v>
      </c>
      <c r="I24" s="1" t="s">
        <v>31</v>
      </c>
      <c r="J24" s="1" t="s">
        <v>32</v>
      </c>
      <c r="K24" s="1" t="s">
        <v>33</v>
      </c>
      <c r="L24" s="1" t="s">
        <v>34</v>
      </c>
      <c r="M24" s="2">
        <v>7</v>
      </c>
      <c r="N24" s="1">
        <v>6000</v>
      </c>
      <c r="O24" s="1">
        <v>200</v>
      </c>
      <c r="P24" s="1">
        <v>64</v>
      </c>
      <c r="Q24" s="1">
        <v>5</v>
      </c>
      <c r="R24" s="3">
        <v>0.9935610632910391</v>
      </c>
      <c r="S24" s="4">
        <v>0.18803062810005761</v>
      </c>
      <c r="T24" s="3">
        <v>0.62247439484856915</v>
      </c>
      <c r="U24" s="9">
        <v>46057</v>
      </c>
    </row>
    <row r="25" spans="1:21" s="1" customFormat="1" ht="12.75">
      <c r="A25" s="1">
        <v>24</v>
      </c>
      <c r="B25" s="1" t="s">
        <v>29</v>
      </c>
      <c r="C25" s="1" t="s">
        <v>22</v>
      </c>
      <c r="D25" s="1" t="s">
        <v>23</v>
      </c>
      <c r="E25" s="1" t="s">
        <v>30</v>
      </c>
      <c r="F25" s="1" t="str">
        <f t="shared" si="0"/>
        <v>225</v>
      </c>
      <c r="G25" s="1" t="str">
        <f t="shared" si="1"/>
        <v>50</v>
      </c>
      <c r="H25" s="1" t="str">
        <f t="shared" si="2"/>
        <v>19</v>
      </c>
      <c r="I25" s="1" t="s">
        <v>31</v>
      </c>
      <c r="J25" s="1" t="s">
        <v>32</v>
      </c>
      <c r="K25" s="1" t="s">
        <v>33</v>
      </c>
      <c r="L25" s="1" t="s">
        <v>34</v>
      </c>
      <c r="M25" s="2">
        <v>7</v>
      </c>
      <c r="N25" s="1">
        <v>6000</v>
      </c>
      <c r="O25" s="1">
        <v>200</v>
      </c>
      <c r="P25" s="1">
        <v>64</v>
      </c>
      <c r="Q25" s="1">
        <v>6</v>
      </c>
      <c r="R25" s="3">
        <v>0.98959289563333142</v>
      </c>
      <c r="S25" s="4">
        <v>0.22501320766559399</v>
      </c>
      <c r="T25" s="3">
        <v>0.64290228609775713</v>
      </c>
      <c r="U25" s="9">
        <v>46057</v>
      </c>
    </row>
    <row r="26" spans="1:21" s="1" customFormat="1" ht="12.75">
      <c r="A26" s="1">
        <v>25</v>
      </c>
      <c r="B26" s="1" t="s">
        <v>21</v>
      </c>
      <c r="C26" s="1" t="s">
        <v>22</v>
      </c>
      <c r="D26" s="1" t="s">
        <v>23</v>
      </c>
      <c r="E26" s="1" t="s">
        <v>30</v>
      </c>
      <c r="F26" s="1" t="str">
        <f t="shared" si="0"/>
        <v>225</v>
      </c>
      <c r="G26" s="1" t="str">
        <f t="shared" si="1"/>
        <v>50</v>
      </c>
      <c r="H26" s="1" t="str">
        <f t="shared" si="2"/>
        <v>19</v>
      </c>
      <c r="I26" s="1" t="s">
        <v>31</v>
      </c>
      <c r="J26" s="1" t="s">
        <v>32</v>
      </c>
      <c r="K26" s="1" t="s">
        <v>35</v>
      </c>
      <c r="L26" s="1" t="s">
        <v>36</v>
      </c>
      <c r="M26" s="2">
        <v>7</v>
      </c>
      <c r="N26" s="1">
        <v>6000</v>
      </c>
      <c r="O26" s="1">
        <v>200</v>
      </c>
      <c r="P26" s="1">
        <v>64</v>
      </c>
      <c r="Q26" s="1">
        <v>1</v>
      </c>
      <c r="R26" s="3">
        <v>0.79923287882021388</v>
      </c>
      <c r="S26" s="4">
        <v>0.12603113880191069</v>
      </c>
      <c r="T26" s="3">
        <v>0.43296751522696691</v>
      </c>
      <c r="U26" s="9">
        <v>46057</v>
      </c>
    </row>
    <row r="27" spans="1:21" s="1" customFormat="1" ht="12.75">
      <c r="A27" s="1">
        <v>26</v>
      </c>
      <c r="B27" s="1" t="s">
        <v>21</v>
      </c>
      <c r="C27" s="1" t="s">
        <v>22</v>
      </c>
      <c r="D27" s="1" t="s">
        <v>23</v>
      </c>
      <c r="E27" s="1" t="s">
        <v>30</v>
      </c>
      <c r="F27" s="1" t="str">
        <f t="shared" si="0"/>
        <v>225</v>
      </c>
      <c r="G27" s="1" t="str">
        <f t="shared" si="1"/>
        <v>50</v>
      </c>
      <c r="H27" s="1" t="str">
        <f t="shared" si="2"/>
        <v>19</v>
      </c>
      <c r="I27" s="1" t="s">
        <v>31</v>
      </c>
      <c r="J27" s="1" t="s">
        <v>32</v>
      </c>
      <c r="K27" s="1" t="s">
        <v>35</v>
      </c>
      <c r="L27" s="1" t="s">
        <v>36</v>
      </c>
      <c r="M27" s="2">
        <v>7</v>
      </c>
      <c r="N27" s="1">
        <v>6000</v>
      </c>
      <c r="O27" s="1">
        <v>200</v>
      </c>
      <c r="P27" s="1">
        <v>64</v>
      </c>
      <c r="Q27" s="1">
        <v>2</v>
      </c>
      <c r="R27" s="3">
        <v>0.74044801615811662</v>
      </c>
      <c r="S27" s="4">
        <v>0.107515125186287</v>
      </c>
      <c r="T27" s="3">
        <v>0.39497604599998859</v>
      </c>
      <c r="U27" s="9">
        <v>46057</v>
      </c>
    </row>
    <row r="28" spans="1:21" s="1" customFormat="1" ht="12.75">
      <c r="A28" s="1">
        <v>27</v>
      </c>
      <c r="B28" s="1" t="s">
        <v>21</v>
      </c>
      <c r="C28" s="1" t="s">
        <v>22</v>
      </c>
      <c r="D28" s="1" t="s">
        <v>23</v>
      </c>
      <c r="E28" s="1" t="s">
        <v>30</v>
      </c>
      <c r="F28" s="1" t="str">
        <f t="shared" si="0"/>
        <v>225</v>
      </c>
      <c r="G28" s="1" t="str">
        <f t="shared" si="1"/>
        <v>50</v>
      </c>
      <c r="H28" s="1" t="str">
        <f t="shared" si="2"/>
        <v>19</v>
      </c>
      <c r="I28" s="1" t="s">
        <v>31</v>
      </c>
      <c r="J28" s="1" t="s">
        <v>32</v>
      </c>
      <c r="K28" s="1" t="s">
        <v>35</v>
      </c>
      <c r="L28" s="1" t="s">
        <v>36</v>
      </c>
      <c r="M28" s="2">
        <v>7</v>
      </c>
      <c r="N28" s="1">
        <v>6000</v>
      </c>
      <c r="O28" s="1">
        <v>200</v>
      </c>
      <c r="P28" s="1">
        <v>64</v>
      </c>
      <c r="Q28" s="1">
        <v>3</v>
      </c>
      <c r="R28" s="3">
        <v>0.72296819097973009</v>
      </c>
      <c r="S28" s="4">
        <v>0.1203459214340743</v>
      </c>
      <c r="T28" s="3">
        <v>0.38597178173470148</v>
      </c>
      <c r="U28" s="9">
        <v>46057</v>
      </c>
    </row>
    <row r="29" spans="1:21" s="1" customFormat="1" ht="12.75">
      <c r="A29" s="1">
        <v>28</v>
      </c>
      <c r="B29" s="1" t="s">
        <v>21</v>
      </c>
      <c r="C29" s="1" t="s">
        <v>22</v>
      </c>
      <c r="D29" s="1" t="s">
        <v>23</v>
      </c>
      <c r="E29" s="1" t="s">
        <v>30</v>
      </c>
      <c r="F29" s="1" t="str">
        <f t="shared" si="0"/>
        <v>225</v>
      </c>
      <c r="G29" s="1" t="str">
        <f t="shared" si="1"/>
        <v>50</v>
      </c>
      <c r="H29" s="1" t="str">
        <f t="shared" si="2"/>
        <v>19</v>
      </c>
      <c r="I29" s="1" t="s">
        <v>31</v>
      </c>
      <c r="J29" s="1" t="s">
        <v>32</v>
      </c>
      <c r="K29" s="1" t="s">
        <v>35</v>
      </c>
      <c r="L29" s="1" t="s">
        <v>36</v>
      </c>
      <c r="M29" s="2">
        <v>7</v>
      </c>
      <c r="N29" s="1">
        <v>6000</v>
      </c>
      <c r="O29" s="1">
        <v>200</v>
      </c>
      <c r="P29" s="1">
        <v>64</v>
      </c>
      <c r="Q29" s="1">
        <v>4</v>
      </c>
      <c r="R29" s="3">
        <v>0.73963421972398113</v>
      </c>
      <c r="S29" s="4">
        <v>0.11231567511547159</v>
      </c>
      <c r="T29" s="3">
        <v>0.39723889162391263</v>
      </c>
      <c r="U29" s="9">
        <v>46057</v>
      </c>
    </row>
    <row r="30" spans="1:21" s="1" customFormat="1" ht="12.75">
      <c r="A30" s="1">
        <v>29</v>
      </c>
      <c r="B30" s="1" t="s">
        <v>21</v>
      </c>
      <c r="C30" s="1" t="s">
        <v>22</v>
      </c>
      <c r="D30" s="1" t="s">
        <v>23</v>
      </c>
      <c r="E30" s="1" t="s">
        <v>30</v>
      </c>
      <c r="F30" s="1" t="str">
        <f t="shared" si="0"/>
        <v>225</v>
      </c>
      <c r="G30" s="1" t="str">
        <f t="shared" si="1"/>
        <v>50</v>
      </c>
      <c r="H30" s="1" t="str">
        <f t="shared" si="2"/>
        <v>19</v>
      </c>
      <c r="I30" s="1" t="s">
        <v>31</v>
      </c>
      <c r="J30" s="1" t="s">
        <v>32</v>
      </c>
      <c r="K30" s="1" t="s">
        <v>35</v>
      </c>
      <c r="L30" s="1" t="s">
        <v>36</v>
      </c>
      <c r="M30" s="2">
        <v>7</v>
      </c>
      <c r="N30" s="1">
        <v>6000</v>
      </c>
      <c r="O30" s="1">
        <v>200</v>
      </c>
      <c r="P30" s="1">
        <v>64</v>
      </c>
      <c r="Q30" s="1">
        <v>5</v>
      </c>
      <c r="R30" s="3">
        <v>0.75189824582651654</v>
      </c>
      <c r="S30" s="4">
        <v>8.0050139007612653E-2</v>
      </c>
      <c r="T30" s="3">
        <v>0.36107134602785351</v>
      </c>
      <c r="U30" s="9">
        <v>46057</v>
      </c>
    </row>
    <row r="31" spans="1:21" s="1" customFormat="1" ht="12.75">
      <c r="A31" s="1">
        <v>30</v>
      </c>
      <c r="B31" s="1" t="s">
        <v>21</v>
      </c>
      <c r="C31" s="1" t="s">
        <v>22</v>
      </c>
      <c r="D31" s="1" t="s">
        <v>23</v>
      </c>
      <c r="E31" s="1" t="s">
        <v>30</v>
      </c>
      <c r="F31" s="1" t="str">
        <f t="shared" si="0"/>
        <v>225</v>
      </c>
      <c r="G31" s="1" t="str">
        <f t="shared" si="1"/>
        <v>50</v>
      </c>
      <c r="H31" s="1" t="str">
        <f t="shared" si="2"/>
        <v>19</v>
      </c>
      <c r="I31" s="1" t="s">
        <v>31</v>
      </c>
      <c r="J31" s="1" t="s">
        <v>32</v>
      </c>
      <c r="K31" s="1" t="s">
        <v>35</v>
      </c>
      <c r="L31" s="1" t="s">
        <v>36</v>
      </c>
      <c r="M31" s="2">
        <v>7</v>
      </c>
      <c r="N31" s="1">
        <v>6000</v>
      </c>
      <c r="O31" s="1">
        <v>200</v>
      </c>
      <c r="P31" s="1">
        <v>64</v>
      </c>
      <c r="Q31" s="1">
        <v>6</v>
      </c>
      <c r="R31" s="3">
        <v>0.81136059376737557</v>
      </c>
      <c r="S31" s="4">
        <v>8.6419329700037115E-2</v>
      </c>
      <c r="T31" s="3">
        <v>0.44651846127267658</v>
      </c>
      <c r="U31" s="9">
        <v>46057</v>
      </c>
    </row>
    <row r="32" spans="1:21" s="1" customFormat="1" ht="12.75">
      <c r="A32" s="1">
        <v>31</v>
      </c>
      <c r="B32" s="1" t="s">
        <v>29</v>
      </c>
      <c r="C32" s="1" t="s">
        <v>22</v>
      </c>
      <c r="D32" s="1" t="s">
        <v>23</v>
      </c>
      <c r="E32" s="1" t="s">
        <v>30</v>
      </c>
      <c r="F32" s="1" t="str">
        <f t="shared" si="0"/>
        <v>225</v>
      </c>
      <c r="G32" s="1" t="str">
        <f t="shared" si="1"/>
        <v>50</v>
      </c>
      <c r="H32" s="1" t="str">
        <f t="shared" si="2"/>
        <v>19</v>
      </c>
      <c r="I32" s="1" t="s">
        <v>31</v>
      </c>
      <c r="J32" s="1" t="s">
        <v>32</v>
      </c>
      <c r="K32" s="1" t="s">
        <v>35</v>
      </c>
      <c r="L32" s="1" t="s">
        <v>36</v>
      </c>
      <c r="M32" s="2">
        <v>7</v>
      </c>
      <c r="N32" s="1">
        <v>6000</v>
      </c>
      <c r="O32" s="1">
        <v>200</v>
      </c>
      <c r="P32" s="1">
        <v>64</v>
      </c>
      <c r="Q32" s="1">
        <v>1</v>
      </c>
      <c r="R32" s="3">
        <v>1.0475373873768561</v>
      </c>
      <c r="S32" s="4">
        <v>0.1081403827050984</v>
      </c>
      <c r="T32" s="3">
        <v>0.67676211066271286</v>
      </c>
      <c r="U32" s="9">
        <v>46057</v>
      </c>
    </row>
    <row r="33" spans="1:21" s="1" customFormat="1" ht="12.75">
      <c r="A33" s="1">
        <v>32</v>
      </c>
      <c r="B33" s="1" t="s">
        <v>29</v>
      </c>
      <c r="C33" s="1" t="s">
        <v>22</v>
      </c>
      <c r="D33" s="1" t="s">
        <v>23</v>
      </c>
      <c r="E33" s="1" t="s">
        <v>30</v>
      </c>
      <c r="F33" s="1" t="str">
        <f t="shared" si="0"/>
        <v>225</v>
      </c>
      <c r="G33" s="1" t="str">
        <f t="shared" si="1"/>
        <v>50</v>
      </c>
      <c r="H33" s="1" t="str">
        <f t="shared" si="2"/>
        <v>19</v>
      </c>
      <c r="I33" s="1" t="s">
        <v>31</v>
      </c>
      <c r="J33" s="1" t="s">
        <v>32</v>
      </c>
      <c r="K33" s="1" t="s">
        <v>35</v>
      </c>
      <c r="L33" s="1" t="s">
        <v>36</v>
      </c>
      <c r="M33" s="2">
        <v>7</v>
      </c>
      <c r="N33" s="1">
        <v>6000</v>
      </c>
      <c r="O33" s="1">
        <v>200</v>
      </c>
      <c r="P33" s="1">
        <v>64</v>
      </c>
      <c r="Q33" s="1">
        <v>2</v>
      </c>
      <c r="R33" s="3">
        <v>0.99739270949215508</v>
      </c>
      <c r="S33" s="4">
        <v>9.3099136316402237E-2</v>
      </c>
      <c r="T33" s="3">
        <v>0.68964981199118602</v>
      </c>
      <c r="U33" s="9">
        <v>46057</v>
      </c>
    </row>
    <row r="34" spans="1:21" s="1" customFormat="1" ht="12.75">
      <c r="A34" s="1">
        <v>33</v>
      </c>
      <c r="B34" s="1" t="s">
        <v>29</v>
      </c>
      <c r="C34" s="1" t="s">
        <v>22</v>
      </c>
      <c r="D34" s="1" t="s">
        <v>23</v>
      </c>
      <c r="E34" s="1" t="s">
        <v>30</v>
      </c>
      <c r="F34" s="1" t="str">
        <f t="shared" si="0"/>
        <v>225</v>
      </c>
      <c r="G34" s="1" t="str">
        <f t="shared" si="1"/>
        <v>50</v>
      </c>
      <c r="H34" s="1" t="str">
        <f t="shared" si="2"/>
        <v>19</v>
      </c>
      <c r="I34" s="1" t="s">
        <v>31</v>
      </c>
      <c r="J34" s="1" t="s">
        <v>32</v>
      </c>
      <c r="K34" s="1" t="s">
        <v>35</v>
      </c>
      <c r="L34" s="1" t="s">
        <v>36</v>
      </c>
      <c r="M34" s="2">
        <v>7</v>
      </c>
      <c r="N34" s="1">
        <v>6000</v>
      </c>
      <c r="O34" s="1">
        <v>200</v>
      </c>
      <c r="P34" s="1">
        <v>64</v>
      </c>
      <c r="Q34" s="1">
        <v>3</v>
      </c>
      <c r="R34" s="3">
        <v>1.0157535147452159</v>
      </c>
      <c r="S34" s="4">
        <v>0.1163034756220611</v>
      </c>
      <c r="T34" s="3">
        <v>0.64082795192495845</v>
      </c>
      <c r="U34" s="9">
        <v>46057</v>
      </c>
    </row>
    <row r="35" spans="1:21" s="1" customFormat="1" ht="12.75">
      <c r="A35" s="1">
        <v>34</v>
      </c>
      <c r="B35" s="1" t="s">
        <v>29</v>
      </c>
      <c r="C35" s="1" t="s">
        <v>22</v>
      </c>
      <c r="D35" s="1" t="s">
        <v>23</v>
      </c>
      <c r="E35" s="1" t="s">
        <v>30</v>
      </c>
      <c r="F35" s="1" t="str">
        <f t="shared" si="0"/>
        <v>225</v>
      </c>
      <c r="G35" s="1" t="str">
        <f t="shared" si="1"/>
        <v>50</v>
      </c>
      <c r="H35" s="1" t="str">
        <f t="shared" si="2"/>
        <v>19</v>
      </c>
      <c r="I35" s="1" t="s">
        <v>31</v>
      </c>
      <c r="J35" s="1" t="s">
        <v>32</v>
      </c>
      <c r="K35" s="1" t="s">
        <v>35</v>
      </c>
      <c r="L35" s="1" t="s">
        <v>36</v>
      </c>
      <c r="M35" s="2">
        <v>7</v>
      </c>
      <c r="N35" s="1">
        <v>6000</v>
      </c>
      <c r="O35" s="1">
        <v>200</v>
      </c>
      <c r="P35" s="1">
        <v>64</v>
      </c>
      <c r="Q35" s="1">
        <v>4</v>
      </c>
      <c r="R35" s="3">
        <v>0.97889421766003371</v>
      </c>
      <c r="S35" s="4">
        <v>0.16217975975092369</v>
      </c>
      <c r="T35" s="3">
        <v>0.6901751069577623</v>
      </c>
      <c r="U35" s="9">
        <v>46057</v>
      </c>
    </row>
    <row r="36" spans="1:21" s="1" customFormat="1" ht="12.75">
      <c r="A36" s="1">
        <v>35</v>
      </c>
      <c r="B36" s="1" t="s">
        <v>29</v>
      </c>
      <c r="C36" s="1" t="s">
        <v>22</v>
      </c>
      <c r="D36" s="1" t="s">
        <v>23</v>
      </c>
      <c r="E36" s="1" t="s">
        <v>30</v>
      </c>
      <c r="F36" s="1" t="str">
        <f t="shared" si="0"/>
        <v>225</v>
      </c>
      <c r="G36" s="1" t="str">
        <f t="shared" si="1"/>
        <v>50</v>
      </c>
      <c r="H36" s="1" t="str">
        <f t="shared" si="2"/>
        <v>19</v>
      </c>
      <c r="I36" s="1" t="s">
        <v>31</v>
      </c>
      <c r="J36" s="1" t="s">
        <v>32</v>
      </c>
      <c r="K36" s="1" t="s">
        <v>35</v>
      </c>
      <c r="L36" s="1" t="s">
        <v>36</v>
      </c>
      <c r="M36" s="2">
        <v>7</v>
      </c>
      <c r="N36" s="1">
        <v>6000</v>
      </c>
      <c r="O36" s="1">
        <v>200</v>
      </c>
      <c r="P36" s="1">
        <v>64</v>
      </c>
      <c r="Q36" s="1">
        <v>5</v>
      </c>
      <c r="R36" s="3">
        <v>1.010840776955626</v>
      </c>
      <c r="S36" s="4">
        <v>0.1407715956503176</v>
      </c>
      <c r="T36" s="3">
        <v>0.69345155110528411</v>
      </c>
      <c r="U36" s="9">
        <v>46057</v>
      </c>
    </row>
    <row r="37" spans="1:21" s="1" customFormat="1" ht="12.75">
      <c r="A37" s="1">
        <v>36</v>
      </c>
      <c r="B37" s="1" t="s">
        <v>29</v>
      </c>
      <c r="C37" s="1" t="s">
        <v>22</v>
      </c>
      <c r="D37" s="1" t="s">
        <v>23</v>
      </c>
      <c r="E37" s="1" t="s">
        <v>30</v>
      </c>
      <c r="F37" s="1" t="str">
        <f t="shared" si="0"/>
        <v>225</v>
      </c>
      <c r="G37" s="1" t="str">
        <f t="shared" si="1"/>
        <v>50</v>
      </c>
      <c r="H37" s="1" t="str">
        <f t="shared" si="2"/>
        <v>19</v>
      </c>
      <c r="I37" s="1" t="s">
        <v>31</v>
      </c>
      <c r="J37" s="1" t="s">
        <v>32</v>
      </c>
      <c r="K37" s="1" t="s">
        <v>35</v>
      </c>
      <c r="L37" s="1" t="s">
        <v>36</v>
      </c>
      <c r="M37" s="2">
        <v>7</v>
      </c>
      <c r="N37" s="1">
        <v>6000</v>
      </c>
      <c r="O37" s="1">
        <v>200</v>
      </c>
      <c r="P37" s="1">
        <v>64</v>
      </c>
      <c r="Q37" s="1">
        <v>6</v>
      </c>
      <c r="R37" s="3">
        <v>1.008785300430237</v>
      </c>
      <c r="S37" s="4">
        <v>0.1020627591706298</v>
      </c>
      <c r="T37" s="3">
        <v>0.70724941722210333</v>
      </c>
      <c r="U37" s="9">
        <v>46057</v>
      </c>
    </row>
    <row r="38" spans="1:21" s="1" customFormat="1" ht="12.75">
      <c r="A38" s="1">
        <v>37</v>
      </c>
      <c r="B38" s="1" t="s">
        <v>21</v>
      </c>
      <c r="C38" s="1" t="s">
        <v>37</v>
      </c>
      <c r="D38" s="1" t="s">
        <v>38</v>
      </c>
      <c r="E38" s="1" t="s">
        <v>39</v>
      </c>
      <c r="F38" s="1" t="str">
        <f t="shared" si="0"/>
        <v>205</v>
      </c>
      <c r="G38" s="1" t="str">
        <f t="shared" si="1"/>
        <v>65</v>
      </c>
      <c r="H38" s="1" t="str">
        <f t="shared" si="2"/>
        <v>16</v>
      </c>
      <c r="I38" s="1" t="s">
        <v>31</v>
      </c>
      <c r="J38" s="1" t="s">
        <v>40</v>
      </c>
      <c r="K38" s="1" t="s">
        <v>41</v>
      </c>
      <c r="L38" s="1" t="s">
        <v>42</v>
      </c>
      <c r="M38" s="2">
        <v>6</v>
      </c>
      <c r="N38" s="5">
        <f>690*9.81</f>
        <v>6768.9000000000005</v>
      </c>
      <c r="O38" s="1">
        <v>250</v>
      </c>
      <c r="P38" s="1">
        <v>80</v>
      </c>
      <c r="Q38" s="1">
        <v>1</v>
      </c>
      <c r="R38" s="3">
        <v>0.81909366615521539</v>
      </c>
      <c r="S38" s="4">
        <v>0.1097950107723706</v>
      </c>
      <c r="T38" s="3">
        <v>0.52453484550752694</v>
      </c>
      <c r="U38" s="9">
        <v>46051</v>
      </c>
    </row>
    <row r="39" spans="1:21" s="1" customFormat="1" ht="12.75">
      <c r="A39" s="1">
        <v>38</v>
      </c>
      <c r="B39" s="1" t="s">
        <v>21</v>
      </c>
      <c r="C39" s="1" t="s">
        <v>37</v>
      </c>
      <c r="D39" s="1" t="s">
        <v>38</v>
      </c>
      <c r="E39" s="1" t="s">
        <v>39</v>
      </c>
      <c r="F39" s="1" t="str">
        <f t="shared" si="0"/>
        <v>205</v>
      </c>
      <c r="G39" s="1" t="str">
        <f t="shared" ref="G39:G43" si="3">MID(E39,5,2)</f>
        <v>65</v>
      </c>
      <c r="H39" s="1" t="str">
        <f t="shared" ref="H39:H43" si="4">MID(E39,8,2)</f>
        <v>16</v>
      </c>
      <c r="I39" s="1" t="s">
        <v>31</v>
      </c>
      <c r="J39" s="1" t="s">
        <v>40</v>
      </c>
      <c r="K39" s="1" t="s">
        <v>41</v>
      </c>
      <c r="L39" s="1" t="s">
        <v>42</v>
      </c>
      <c r="M39" s="2">
        <v>6</v>
      </c>
      <c r="N39" s="5">
        <f t="shared" ref="N39:N54" si="5">690*9.81</f>
        <v>6768.9000000000005</v>
      </c>
      <c r="O39" s="1">
        <v>250</v>
      </c>
      <c r="P39" s="1">
        <v>80</v>
      </c>
      <c r="Q39" s="1">
        <v>2</v>
      </c>
      <c r="R39" s="3">
        <v>0.82046689210759072</v>
      </c>
      <c r="S39" s="4">
        <v>0.11208048682003</v>
      </c>
      <c r="T39" s="3">
        <v>0.45808372336400838</v>
      </c>
      <c r="U39" s="9">
        <v>46051</v>
      </c>
    </row>
    <row r="40" spans="1:21" s="1" customFormat="1" ht="12.75">
      <c r="A40" s="1">
        <v>39</v>
      </c>
      <c r="B40" s="1" t="s">
        <v>21</v>
      </c>
      <c r="C40" s="1" t="s">
        <v>37</v>
      </c>
      <c r="D40" s="1" t="s">
        <v>38</v>
      </c>
      <c r="E40" s="1" t="s">
        <v>39</v>
      </c>
      <c r="F40" s="1" t="str">
        <f t="shared" si="0"/>
        <v>205</v>
      </c>
      <c r="G40" s="1" t="str">
        <f t="shared" si="3"/>
        <v>65</v>
      </c>
      <c r="H40" s="1" t="str">
        <f t="shared" si="4"/>
        <v>16</v>
      </c>
      <c r="I40" s="1" t="s">
        <v>31</v>
      </c>
      <c r="J40" s="1" t="s">
        <v>40</v>
      </c>
      <c r="K40" s="1" t="s">
        <v>41</v>
      </c>
      <c r="L40" s="1" t="s">
        <v>42</v>
      </c>
      <c r="M40" s="2">
        <v>6</v>
      </c>
      <c r="N40" s="5">
        <f t="shared" si="5"/>
        <v>6768.9000000000005</v>
      </c>
      <c r="O40" s="1">
        <v>250</v>
      </c>
      <c r="P40" s="1">
        <v>80</v>
      </c>
      <c r="Q40" s="1">
        <v>3</v>
      </c>
      <c r="R40" s="3">
        <v>0.83069307293352657</v>
      </c>
      <c r="S40" s="4">
        <v>8.9543102670003039E-2</v>
      </c>
      <c r="T40" s="3">
        <v>0.52551103552728251</v>
      </c>
      <c r="U40" s="9">
        <v>46051</v>
      </c>
    </row>
    <row r="41" spans="1:21" s="1" customFormat="1" ht="12.75">
      <c r="A41" s="1">
        <v>40</v>
      </c>
      <c r="B41" s="1" t="s">
        <v>21</v>
      </c>
      <c r="C41" s="1" t="s">
        <v>37</v>
      </c>
      <c r="D41" s="1" t="s">
        <v>38</v>
      </c>
      <c r="E41" s="1" t="s">
        <v>39</v>
      </c>
      <c r="F41" s="1" t="str">
        <f t="shared" si="0"/>
        <v>205</v>
      </c>
      <c r="G41" s="1" t="str">
        <f t="shared" si="3"/>
        <v>65</v>
      </c>
      <c r="H41" s="1" t="str">
        <f t="shared" si="4"/>
        <v>16</v>
      </c>
      <c r="I41" s="1" t="s">
        <v>31</v>
      </c>
      <c r="J41" s="1" t="s">
        <v>40</v>
      </c>
      <c r="K41" s="1" t="s">
        <v>41</v>
      </c>
      <c r="L41" s="1" t="s">
        <v>42</v>
      </c>
      <c r="M41" s="2">
        <v>6</v>
      </c>
      <c r="N41" s="5">
        <f t="shared" si="5"/>
        <v>6768.9000000000005</v>
      </c>
      <c r="O41" s="1">
        <v>250</v>
      </c>
      <c r="P41" s="1">
        <v>80</v>
      </c>
      <c r="Q41" s="1">
        <v>4</v>
      </c>
      <c r="R41" s="3">
        <v>0.84906877630362287</v>
      </c>
      <c r="S41" s="4">
        <v>0.1243971092495654</v>
      </c>
      <c r="T41" s="3">
        <v>0.47863029361776699</v>
      </c>
      <c r="U41" s="9">
        <v>46051</v>
      </c>
    </row>
    <row r="42" spans="1:21" s="1" customFormat="1" ht="12.75">
      <c r="A42" s="1">
        <v>41</v>
      </c>
      <c r="B42" s="1" t="s">
        <v>21</v>
      </c>
      <c r="C42" s="1" t="s">
        <v>37</v>
      </c>
      <c r="D42" s="1" t="s">
        <v>38</v>
      </c>
      <c r="E42" s="1" t="s">
        <v>39</v>
      </c>
      <c r="F42" s="1" t="str">
        <f t="shared" si="0"/>
        <v>205</v>
      </c>
      <c r="G42" s="1" t="str">
        <f t="shared" si="3"/>
        <v>65</v>
      </c>
      <c r="H42" s="1" t="str">
        <f t="shared" si="4"/>
        <v>16</v>
      </c>
      <c r="I42" s="1" t="s">
        <v>31</v>
      </c>
      <c r="J42" s="1" t="s">
        <v>40</v>
      </c>
      <c r="K42" s="1" t="s">
        <v>41</v>
      </c>
      <c r="L42" s="1" t="s">
        <v>42</v>
      </c>
      <c r="M42" s="2">
        <v>6</v>
      </c>
      <c r="N42" s="5">
        <f t="shared" si="5"/>
        <v>6768.9000000000005</v>
      </c>
      <c r="O42" s="1">
        <v>250</v>
      </c>
      <c r="P42" s="1">
        <v>80</v>
      </c>
      <c r="Q42" s="1">
        <v>5</v>
      </c>
      <c r="R42" s="3">
        <v>0.87252574179462328</v>
      </c>
      <c r="S42" s="4">
        <v>6.9990779835961109E-2</v>
      </c>
      <c r="T42" s="3">
        <v>0.53210215974260666</v>
      </c>
      <c r="U42" s="9">
        <v>46051</v>
      </c>
    </row>
    <row r="43" spans="1:21" s="1" customFormat="1" ht="12.75">
      <c r="A43" s="1">
        <v>42</v>
      </c>
      <c r="B43" s="1" t="s">
        <v>21</v>
      </c>
      <c r="C43" s="1" t="s">
        <v>37</v>
      </c>
      <c r="D43" s="1" t="s">
        <v>38</v>
      </c>
      <c r="E43" s="1" t="s">
        <v>39</v>
      </c>
      <c r="F43" s="1" t="str">
        <f t="shared" si="0"/>
        <v>205</v>
      </c>
      <c r="G43" s="1" t="str">
        <f t="shared" si="3"/>
        <v>65</v>
      </c>
      <c r="H43" s="1" t="str">
        <f t="shared" si="4"/>
        <v>16</v>
      </c>
      <c r="I43" s="1" t="s">
        <v>31</v>
      </c>
      <c r="J43" s="1" t="s">
        <v>40</v>
      </c>
      <c r="K43" s="1" t="s">
        <v>41</v>
      </c>
      <c r="L43" s="1" t="s">
        <v>42</v>
      </c>
      <c r="M43" s="2">
        <v>6</v>
      </c>
      <c r="N43" s="5">
        <f t="shared" si="5"/>
        <v>6768.9000000000005</v>
      </c>
      <c r="O43" s="1">
        <v>250</v>
      </c>
      <c r="P43" s="1">
        <v>80</v>
      </c>
      <c r="Q43" s="1">
        <v>6</v>
      </c>
      <c r="R43" s="3">
        <v>0.85677285641909895</v>
      </c>
      <c r="S43" s="4">
        <v>0.1074933866699741</v>
      </c>
      <c r="T43" s="3">
        <v>0.55247640565369394</v>
      </c>
      <c r="U43" s="9">
        <v>46051</v>
      </c>
    </row>
    <row r="44" spans="1:21" s="1" customFormat="1" ht="12.75">
      <c r="A44" s="1">
        <v>43</v>
      </c>
      <c r="B44" s="1" t="s">
        <v>29</v>
      </c>
      <c r="C44" s="1" t="s">
        <v>37</v>
      </c>
      <c r="D44" s="1" t="s">
        <v>38</v>
      </c>
      <c r="E44" s="1" t="s">
        <v>39</v>
      </c>
      <c r="F44" s="1" t="str">
        <f t="shared" si="0"/>
        <v>205</v>
      </c>
      <c r="G44" s="1" t="str">
        <f t="shared" ref="G44:G48" si="6">MID(E44,5,2)</f>
        <v>65</v>
      </c>
      <c r="H44" s="1" t="str">
        <f t="shared" ref="H44:H48" si="7">MID(E44,8,2)</f>
        <v>16</v>
      </c>
      <c r="I44" s="1" t="s">
        <v>31</v>
      </c>
      <c r="J44" s="1" t="s">
        <v>40</v>
      </c>
      <c r="K44" s="1" t="s">
        <v>41</v>
      </c>
      <c r="L44" s="1" t="s">
        <v>42</v>
      </c>
      <c r="M44" s="2">
        <v>6</v>
      </c>
      <c r="N44" s="5">
        <f t="shared" si="5"/>
        <v>6768.9000000000005</v>
      </c>
      <c r="O44" s="1">
        <v>250</v>
      </c>
      <c r="P44" s="1">
        <v>80</v>
      </c>
      <c r="Q44" s="1">
        <v>1</v>
      </c>
      <c r="R44" s="3">
        <v>0.98119359962209973</v>
      </c>
      <c r="S44" s="4">
        <v>8.8273587340325296E-2</v>
      </c>
      <c r="T44" s="3">
        <v>0.59303295949952928</v>
      </c>
      <c r="U44" s="9">
        <v>46051</v>
      </c>
    </row>
    <row r="45" spans="1:21" s="1" customFormat="1" ht="12.75">
      <c r="A45" s="1">
        <v>44</v>
      </c>
      <c r="B45" s="1" t="s">
        <v>29</v>
      </c>
      <c r="C45" s="1" t="s">
        <v>37</v>
      </c>
      <c r="D45" s="1" t="s">
        <v>38</v>
      </c>
      <c r="E45" s="1" t="s">
        <v>39</v>
      </c>
      <c r="F45" s="1" t="str">
        <f t="shared" si="0"/>
        <v>205</v>
      </c>
      <c r="G45" s="1" t="str">
        <f t="shared" si="6"/>
        <v>65</v>
      </c>
      <c r="H45" s="1" t="str">
        <f t="shared" si="7"/>
        <v>16</v>
      </c>
      <c r="I45" s="1" t="s">
        <v>31</v>
      </c>
      <c r="J45" s="1" t="s">
        <v>40</v>
      </c>
      <c r="K45" s="1" t="s">
        <v>41</v>
      </c>
      <c r="L45" s="1" t="s">
        <v>42</v>
      </c>
      <c r="M45" s="2">
        <v>6</v>
      </c>
      <c r="N45" s="5">
        <f t="shared" si="5"/>
        <v>6768.9000000000005</v>
      </c>
      <c r="O45" s="1">
        <v>250</v>
      </c>
      <c r="P45" s="1">
        <v>80</v>
      </c>
      <c r="Q45" s="1">
        <v>2</v>
      </c>
      <c r="R45" s="3">
        <v>0.9790295453707053</v>
      </c>
      <c r="S45" s="4">
        <v>0.1059500577508815</v>
      </c>
      <c r="T45" s="3">
        <v>0.53435488556326338</v>
      </c>
      <c r="U45" s="9">
        <v>46051</v>
      </c>
    </row>
    <row r="46" spans="1:21" s="1" customFormat="1" ht="12.75">
      <c r="A46" s="1">
        <v>45</v>
      </c>
      <c r="B46" s="1" t="s">
        <v>29</v>
      </c>
      <c r="C46" s="1" t="s">
        <v>37</v>
      </c>
      <c r="D46" s="1" t="s">
        <v>38</v>
      </c>
      <c r="E46" s="1" t="s">
        <v>39</v>
      </c>
      <c r="F46" s="1" t="str">
        <f t="shared" si="0"/>
        <v>205</v>
      </c>
      <c r="G46" s="1" t="str">
        <f t="shared" si="6"/>
        <v>65</v>
      </c>
      <c r="H46" s="1" t="str">
        <f t="shared" si="7"/>
        <v>16</v>
      </c>
      <c r="I46" s="1" t="s">
        <v>31</v>
      </c>
      <c r="J46" s="1" t="s">
        <v>40</v>
      </c>
      <c r="K46" s="1" t="s">
        <v>41</v>
      </c>
      <c r="L46" s="1" t="s">
        <v>42</v>
      </c>
      <c r="M46" s="2">
        <v>6</v>
      </c>
      <c r="N46" s="5">
        <f t="shared" si="5"/>
        <v>6768.9000000000005</v>
      </c>
      <c r="O46" s="1">
        <v>250</v>
      </c>
      <c r="P46" s="1">
        <v>80</v>
      </c>
      <c r="Q46" s="1">
        <v>3</v>
      </c>
      <c r="R46" s="3">
        <v>0.98092459392514542</v>
      </c>
      <c r="S46" s="4">
        <v>0.1025006079820841</v>
      </c>
      <c r="T46" s="3">
        <v>0.57241299048142147</v>
      </c>
      <c r="U46" s="9">
        <v>46051</v>
      </c>
    </row>
    <row r="47" spans="1:21" s="1" customFormat="1" ht="12.75">
      <c r="A47" s="1">
        <v>46</v>
      </c>
      <c r="B47" s="1" t="s">
        <v>29</v>
      </c>
      <c r="C47" s="1" t="s">
        <v>37</v>
      </c>
      <c r="D47" s="1" t="s">
        <v>38</v>
      </c>
      <c r="E47" s="1" t="s">
        <v>39</v>
      </c>
      <c r="F47" s="1" t="str">
        <f t="shared" si="0"/>
        <v>205</v>
      </c>
      <c r="G47" s="1" t="str">
        <f t="shared" si="6"/>
        <v>65</v>
      </c>
      <c r="H47" s="1" t="str">
        <f t="shared" si="7"/>
        <v>16</v>
      </c>
      <c r="I47" s="1" t="s">
        <v>31</v>
      </c>
      <c r="J47" s="1" t="s">
        <v>40</v>
      </c>
      <c r="K47" s="1" t="s">
        <v>41</v>
      </c>
      <c r="L47" s="1" t="s">
        <v>42</v>
      </c>
      <c r="M47" s="2">
        <v>6</v>
      </c>
      <c r="N47" s="5">
        <f t="shared" si="5"/>
        <v>6768.9000000000005</v>
      </c>
      <c r="O47" s="1">
        <v>250</v>
      </c>
      <c r="P47" s="1">
        <v>80</v>
      </c>
      <c r="Q47" s="1">
        <v>4</v>
      </c>
      <c r="R47" s="3">
        <v>0.93301492576980394</v>
      </c>
      <c r="S47" s="4">
        <v>0.13964273386304299</v>
      </c>
      <c r="T47" s="3">
        <v>0.55377859634368831</v>
      </c>
      <c r="U47" s="9">
        <v>46051</v>
      </c>
    </row>
    <row r="48" spans="1:21" s="1" customFormat="1" ht="12.75">
      <c r="A48" s="1">
        <v>47</v>
      </c>
      <c r="B48" s="1" t="s">
        <v>29</v>
      </c>
      <c r="C48" s="1" t="s">
        <v>37</v>
      </c>
      <c r="D48" s="1" t="s">
        <v>38</v>
      </c>
      <c r="E48" s="1" t="s">
        <v>39</v>
      </c>
      <c r="F48" s="1" t="str">
        <f t="shared" si="0"/>
        <v>205</v>
      </c>
      <c r="G48" s="1" t="str">
        <f t="shared" si="6"/>
        <v>65</v>
      </c>
      <c r="H48" s="1" t="str">
        <f t="shared" si="7"/>
        <v>16</v>
      </c>
      <c r="I48" s="1" t="s">
        <v>31</v>
      </c>
      <c r="J48" s="1" t="s">
        <v>40</v>
      </c>
      <c r="K48" s="1" t="s">
        <v>41</v>
      </c>
      <c r="L48" s="1" t="s">
        <v>42</v>
      </c>
      <c r="M48" s="2">
        <v>6</v>
      </c>
      <c r="N48" s="5">
        <f t="shared" si="5"/>
        <v>6768.9000000000005</v>
      </c>
      <c r="O48" s="1">
        <v>250</v>
      </c>
      <c r="P48" s="1">
        <v>80</v>
      </c>
      <c r="Q48" s="1">
        <v>5</v>
      </c>
      <c r="R48" s="3">
        <v>0.99624285186625328</v>
      </c>
      <c r="S48" s="4">
        <v>0.12418725391435149</v>
      </c>
      <c r="T48" s="3">
        <v>0.60006275322753067</v>
      </c>
      <c r="U48" s="9">
        <v>46051</v>
      </c>
    </row>
    <row r="49" spans="1:21" s="1" customFormat="1" ht="12.75">
      <c r="A49" s="1">
        <v>48</v>
      </c>
      <c r="B49" s="1" t="s">
        <v>21</v>
      </c>
      <c r="C49" s="1" t="s">
        <v>37</v>
      </c>
      <c r="D49" s="1" t="s">
        <v>38</v>
      </c>
      <c r="E49" s="1" t="s">
        <v>39</v>
      </c>
      <c r="F49" s="1" t="str">
        <f t="shared" si="0"/>
        <v>205</v>
      </c>
      <c r="G49" s="1" t="str">
        <f t="shared" ref="G49:G54" si="8">MID(E49,5,2)</f>
        <v>65</v>
      </c>
      <c r="H49" s="1" t="str">
        <f t="shared" ref="H49:H54" si="9">MID(E49,8,2)</f>
        <v>16</v>
      </c>
      <c r="I49" s="1" t="s">
        <v>31</v>
      </c>
      <c r="J49" s="1" t="s">
        <v>40</v>
      </c>
      <c r="K49" s="1" t="s">
        <v>43</v>
      </c>
      <c r="L49" s="1" t="s">
        <v>44</v>
      </c>
      <c r="M49" s="2">
        <v>6</v>
      </c>
      <c r="N49" s="5">
        <f t="shared" si="5"/>
        <v>6768.9000000000005</v>
      </c>
      <c r="O49" s="1">
        <v>250</v>
      </c>
      <c r="P49" s="1">
        <v>80</v>
      </c>
      <c r="Q49" s="1">
        <v>1</v>
      </c>
      <c r="R49" s="3">
        <v>0.85630670507954254</v>
      </c>
      <c r="S49" s="4">
        <v>9.5355813751042559E-2</v>
      </c>
      <c r="T49" s="3">
        <v>0.53845950595159431</v>
      </c>
      <c r="U49" s="9">
        <v>46051</v>
      </c>
    </row>
    <row r="50" spans="1:21" s="1" customFormat="1" ht="12.75">
      <c r="A50" s="1">
        <v>49</v>
      </c>
      <c r="B50" s="1" t="s">
        <v>21</v>
      </c>
      <c r="C50" s="1" t="s">
        <v>37</v>
      </c>
      <c r="D50" s="1" t="s">
        <v>38</v>
      </c>
      <c r="E50" s="1" t="s">
        <v>39</v>
      </c>
      <c r="F50" s="1" t="str">
        <f t="shared" si="0"/>
        <v>205</v>
      </c>
      <c r="G50" s="1" t="str">
        <f t="shared" si="8"/>
        <v>65</v>
      </c>
      <c r="H50" s="1" t="str">
        <f t="shared" si="9"/>
        <v>16</v>
      </c>
      <c r="I50" s="1" t="s">
        <v>31</v>
      </c>
      <c r="J50" s="1" t="s">
        <v>40</v>
      </c>
      <c r="K50" s="1" t="s">
        <v>43</v>
      </c>
      <c r="L50" s="1" t="s">
        <v>44</v>
      </c>
      <c r="M50" s="2">
        <v>6</v>
      </c>
      <c r="N50" s="5">
        <f t="shared" si="5"/>
        <v>6768.9000000000005</v>
      </c>
      <c r="O50" s="1">
        <v>250</v>
      </c>
      <c r="P50" s="1">
        <v>80</v>
      </c>
      <c r="Q50" s="1">
        <v>2</v>
      </c>
      <c r="R50" s="3">
        <v>0.81057528961908554</v>
      </c>
      <c r="S50" s="4">
        <v>0.1034307985569288</v>
      </c>
      <c r="T50" s="3">
        <v>0.42417541282038201</v>
      </c>
      <c r="U50" s="9">
        <v>46051</v>
      </c>
    </row>
    <row r="51" spans="1:21" s="1" customFormat="1" ht="12.75">
      <c r="A51" s="1">
        <v>50</v>
      </c>
      <c r="B51" s="1" t="s">
        <v>21</v>
      </c>
      <c r="C51" s="1" t="s">
        <v>37</v>
      </c>
      <c r="D51" s="1" t="s">
        <v>38</v>
      </c>
      <c r="E51" s="1" t="s">
        <v>39</v>
      </c>
      <c r="F51" s="1" t="str">
        <f t="shared" si="0"/>
        <v>205</v>
      </c>
      <c r="G51" s="1" t="str">
        <f t="shared" si="8"/>
        <v>65</v>
      </c>
      <c r="H51" s="1" t="str">
        <f t="shared" si="9"/>
        <v>16</v>
      </c>
      <c r="I51" s="1" t="s">
        <v>31</v>
      </c>
      <c r="J51" s="1" t="s">
        <v>40</v>
      </c>
      <c r="K51" s="1" t="s">
        <v>43</v>
      </c>
      <c r="L51" s="1" t="s">
        <v>44</v>
      </c>
      <c r="M51" s="2">
        <v>6</v>
      </c>
      <c r="N51" s="5">
        <f t="shared" si="5"/>
        <v>6768.9000000000005</v>
      </c>
      <c r="O51" s="1">
        <v>250</v>
      </c>
      <c r="P51" s="1">
        <v>80</v>
      </c>
      <c r="Q51" s="1">
        <v>3</v>
      </c>
      <c r="R51" s="3">
        <v>0.83871886289147446</v>
      </c>
      <c r="S51" s="4">
        <v>0.12362821824717569</v>
      </c>
      <c r="T51" s="3">
        <v>0.4435746319910111</v>
      </c>
      <c r="U51" s="9">
        <v>46051</v>
      </c>
    </row>
    <row r="52" spans="1:21" s="1" customFormat="1" ht="12.75">
      <c r="A52" s="1">
        <v>51</v>
      </c>
      <c r="B52" s="1" t="s">
        <v>21</v>
      </c>
      <c r="C52" s="1" t="s">
        <v>37</v>
      </c>
      <c r="D52" s="1" t="s">
        <v>38</v>
      </c>
      <c r="E52" s="1" t="s">
        <v>39</v>
      </c>
      <c r="F52" s="1" t="str">
        <f t="shared" si="0"/>
        <v>205</v>
      </c>
      <c r="G52" s="1" t="str">
        <f t="shared" si="8"/>
        <v>65</v>
      </c>
      <c r="H52" s="1" t="str">
        <f t="shared" si="9"/>
        <v>16</v>
      </c>
      <c r="I52" s="1" t="s">
        <v>31</v>
      </c>
      <c r="J52" s="1" t="s">
        <v>40</v>
      </c>
      <c r="K52" s="1" t="s">
        <v>43</v>
      </c>
      <c r="L52" s="1" t="s">
        <v>44</v>
      </c>
      <c r="M52" s="2">
        <v>6</v>
      </c>
      <c r="N52" s="5">
        <f t="shared" si="5"/>
        <v>6768.9000000000005</v>
      </c>
      <c r="O52" s="1">
        <v>250</v>
      </c>
      <c r="P52" s="1">
        <v>80</v>
      </c>
      <c r="Q52" s="1">
        <v>4</v>
      </c>
      <c r="R52" s="3">
        <v>0.80031496329711482</v>
      </c>
      <c r="S52" s="4">
        <v>6.7261400417517464E-2</v>
      </c>
      <c r="T52" s="3">
        <v>0.42735232081743479</v>
      </c>
      <c r="U52" s="9">
        <v>46051</v>
      </c>
    </row>
    <row r="53" spans="1:21" s="1" customFormat="1" ht="12.75">
      <c r="A53" s="1">
        <v>52</v>
      </c>
      <c r="B53" s="1" t="s">
        <v>21</v>
      </c>
      <c r="C53" s="1" t="s">
        <v>37</v>
      </c>
      <c r="D53" s="1" t="s">
        <v>38</v>
      </c>
      <c r="E53" s="1" t="s">
        <v>39</v>
      </c>
      <c r="F53" s="1" t="str">
        <f t="shared" si="0"/>
        <v>205</v>
      </c>
      <c r="G53" s="1" t="str">
        <f t="shared" si="8"/>
        <v>65</v>
      </c>
      <c r="H53" s="1" t="str">
        <f t="shared" si="9"/>
        <v>16</v>
      </c>
      <c r="I53" s="1" t="s">
        <v>31</v>
      </c>
      <c r="J53" s="1" t="s">
        <v>40</v>
      </c>
      <c r="K53" s="1" t="s">
        <v>43</v>
      </c>
      <c r="L53" s="1" t="s">
        <v>44</v>
      </c>
      <c r="M53" s="2">
        <v>6</v>
      </c>
      <c r="N53" s="5">
        <f t="shared" si="5"/>
        <v>6768.9000000000005</v>
      </c>
      <c r="O53" s="1">
        <v>250</v>
      </c>
      <c r="P53" s="1">
        <v>80</v>
      </c>
      <c r="Q53" s="1">
        <v>5</v>
      </c>
      <c r="R53" s="3">
        <v>0.79782992671585029</v>
      </c>
      <c r="S53" s="4">
        <v>8.0717845778846581E-2</v>
      </c>
      <c r="T53" s="3">
        <v>0.44712276386497668</v>
      </c>
      <c r="U53" s="9">
        <v>46051</v>
      </c>
    </row>
    <row r="54" spans="1:21" s="1" customFormat="1" ht="12.75">
      <c r="A54" s="1">
        <v>53</v>
      </c>
      <c r="B54" s="1" t="s">
        <v>21</v>
      </c>
      <c r="C54" s="1" t="s">
        <v>37</v>
      </c>
      <c r="D54" s="1" t="s">
        <v>38</v>
      </c>
      <c r="E54" s="1" t="s">
        <v>39</v>
      </c>
      <c r="F54" s="1" t="str">
        <f t="shared" si="0"/>
        <v>205</v>
      </c>
      <c r="G54" s="1" t="str">
        <f t="shared" si="8"/>
        <v>65</v>
      </c>
      <c r="H54" s="1" t="str">
        <f t="shared" si="9"/>
        <v>16</v>
      </c>
      <c r="I54" s="1" t="s">
        <v>31</v>
      </c>
      <c r="J54" s="1" t="s">
        <v>40</v>
      </c>
      <c r="K54" s="1" t="s">
        <v>43</v>
      </c>
      <c r="L54" s="1" t="s">
        <v>44</v>
      </c>
      <c r="M54" s="2">
        <v>6</v>
      </c>
      <c r="N54" s="5">
        <f t="shared" si="5"/>
        <v>6768.9000000000005</v>
      </c>
      <c r="O54" s="1">
        <v>250</v>
      </c>
      <c r="P54" s="1">
        <v>80</v>
      </c>
      <c r="Q54" s="1">
        <v>6</v>
      </c>
      <c r="R54" s="3">
        <v>0.8215015174431004</v>
      </c>
      <c r="S54" s="4">
        <v>0.1172596267231729</v>
      </c>
      <c r="T54" s="3">
        <v>0.40729717261317838</v>
      </c>
      <c r="U54" s="9">
        <v>46051</v>
      </c>
    </row>
    <row r="55" spans="1:21" s="1" customFormat="1" ht="12.75">
      <c r="A55" s="1">
        <v>54</v>
      </c>
      <c r="B55" s="1" t="s">
        <v>29</v>
      </c>
      <c r="C55" s="1" t="s">
        <v>37</v>
      </c>
      <c r="D55" s="1" t="s">
        <v>38</v>
      </c>
      <c r="E55" s="1" t="s">
        <v>39</v>
      </c>
      <c r="F55" s="1" t="str">
        <f t="shared" si="0"/>
        <v>205</v>
      </c>
      <c r="G55" s="1" t="str">
        <f t="shared" ref="G55:G61" si="10">MID(E55,5,2)</f>
        <v>65</v>
      </c>
      <c r="H55" s="1" t="str">
        <f t="shared" ref="H55:H61" si="11">MID(E55,8,2)</f>
        <v>16</v>
      </c>
      <c r="I55" s="1" t="s">
        <v>31</v>
      </c>
      <c r="J55" s="1" t="s">
        <v>40</v>
      </c>
      <c r="K55" s="1" t="s">
        <v>43</v>
      </c>
      <c r="L55" s="1" t="s">
        <v>44</v>
      </c>
      <c r="M55" s="2">
        <v>6</v>
      </c>
      <c r="N55" s="5">
        <v>6768.9000000000005</v>
      </c>
      <c r="O55" s="1">
        <v>250</v>
      </c>
      <c r="P55" s="1">
        <v>80</v>
      </c>
      <c r="Q55" s="1">
        <v>1</v>
      </c>
      <c r="R55" s="3">
        <v>0.99103114348251109</v>
      </c>
      <c r="S55" s="4">
        <v>0.10843092134340521</v>
      </c>
      <c r="T55" s="3">
        <v>0.60505750766700173</v>
      </c>
      <c r="U55" s="9">
        <v>46051</v>
      </c>
    </row>
    <row r="56" spans="1:21" s="1" customFormat="1" ht="12.75">
      <c r="A56" s="1">
        <v>55</v>
      </c>
      <c r="B56" s="1" t="s">
        <v>29</v>
      </c>
      <c r="C56" s="1" t="s">
        <v>37</v>
      </c>
      <c r="D56" s="1" t="s">
        <v>38</v>
      </c>
      <c r="E56" s="1" t="s">
        <v>39</v>
      </c>
      <c r="F56" s="1" t="str">
        <f t="shared" si="0"/>
        <v>205</v>
      </c>
      <c r="G56" s="1" t="str">
        <f t="shared" si="10"/>
        <v>65</v>
      </c>
      <c r="H56" s="1" t="str">
        <f t="shared" si="11"/>
        <v>16</v>
      </c>
      <c r="I56" s="1" t="s">
        <v>31</v>
      </c>
      <c r="J56" s="1" t="s">
        <v>40</v>
      </c>
      <c r="K56" s="1" t="s">
        <v>43</v>
      </c>
      <c r="L56" s="1" t="s">
        <v>44</v>
      </c>
      <c r="M56" s="2">
        <v>6</v>
      </c>
      <c r="N56" s="5">
        <v>6768.9000000000005</v>
      </c>
      <c r="O56" s="1">
        <v>250</v>
      </c>
      <c r="P56" s="1">
        <v>80</v>
      </c>
      <c r="Q56" s="1">
        <v>2</v>
      </c>
      <c r="R56" s="3">
        <v>1.006043261886816</v>
      </c>
      <c r="S56" s="4">
        <v>0.10266274901945791</v>
      </c>
      <c r="T56" s="3">
        <v>0.57786784153057391</v>
      </c>
      <c r="U56" s="9">
        <v>46051</v>
      </c>
    </row>
    <row r="57" spans="1:21" s="1" customFormat="1" ht="12.75">
      <c r="A57" s="1">
        <v>56</v>
      </c>
      <c r="B57" s="1" t="s">
        <v>29</v>
      </c>
      <c r="C57" s="1" t="s">
        <v>37</v>
      </c>
      <c r="D57" s="1" t="s">
        <v>38</v>
      </c>
      <c r="E57" s="1" t="s">
        <v>39</v>
      </c>
      <c r="F57" s="1" t="str">
        <f t="shared" si="0"/>
        <v>205</v>
      </c>
      <c r="G57" s="1" t="str">
        <f t="shared" si="10"/>
        <v>65</v>
      </c>
      <c r="H57" s="1" t="str">
        <f t="shared" si="11"/>
        <v>16</v>
      </c>
      <c r="I57" s="1" t="s">
        <v>31</v>
      </c>
      <c r="J57" s="1" t="s">
        <v>40</v>
      </c>
      <c r="K57" s="1" t="s">
        <v>43</v>
      </c>
      <c r="L57" s="1" t="s">
        <v>44</v>
      </c>
      <c r="M57" s="2">
        <v>6</v>
      </c>
      <c r="N57" s="5">
        <v>6768.9000000000005</v>
      </c>
      <c r="O57" s="1">
        <v>250</v>
      </c>
      <c r="P57" s="1">
        <v>80</v>
      </c>
      <c r="Q57" s="1">
        <v>3</v>
      </c>
      <c r="R57" s="3">
        <v>0.99053086048085404</v>
      </c>
      <c r="S57" s="4">
        <v>9.9078701456447663E-2</v>
      </c>
      <c r="T57" s="3">
        <v>0.58949097740465017</v>
      </c>
      <c r="U57" s="9">
        <v>46051</v>
      </c>
    </row>
    <row r="58" spans="1:21" s="1" customFormat="1" ht="12.75">
      <c r="A58" s="1">
        <v>57</v>
      </c>
      <c r="B58" s="1" t="s">
        <v>29</v>
      </c>
      <c r="C58" s="1" t="s">
        <v>37</v>
      </c>
      <c r="D58" s="1" t="s">
        <v>38</v>
      </c>
      <c r="E58" s="1" t="s">
        <v>39</v>
      </c>
      <c r="F58" s="1" t="str">
        <f t="shared" si="0"/>
        <v>205</v>
      </c>
      <c r="G58" s="1" t="str">
        <f t="shared" si="10"/>
        <v>65</v>
      </c>
      <c r="H58" s="1" t="str">
        <f t="shared" si="11"/>
        <v>16</v>
      </c>
      <c r="I58" s="1" t="s">
        <v>31</v>
      </c>
      <c r="J58" s="1" t="s">
        <v>40</v>
      </c>
      <c r="K58" s="1" t="s">
        <v>43</v>
      </c>
      <c r="L58" s="1" t="s">
        <v>44</v>
      </c>
      <c r="M58" s="2">
        <v>6</v>
      </c>
      <c r="N58" s="5">
        <v>6768.9000000000005</v>
      </c>
      <c r="O58" s="1">
        <v>250</v>
      </c>
      <c r="P58" s="1">
        <v>80</v>
      </c>
      <c r="Q58" s="1">
        <v>4</v>
      </c>
      <c r="R58" s="3">
        <v>0.98304661949456551</v>
      </c>
      <c r="S58" s="4">
        <v>0.1318090290864056</v>
      </c>
      <c r="T58" s="3">
        <v>0.59969075240599512</v>
      </c>
      <c r="U58" s="9">
        <v>46051</v>
      </c>
    </row>
    <row r="59" spans="1:21" s="1" customFormat="1" ht="12.75">
      <c r="A59" s="1">
        <v>58</v>
      </c>
      <c r="B59" s="1" t="s">
        <v>29</v>
      </c>
      <c r="C59" s="1" t="s">
        <v>37</v>
      </c>
      <c r="D59" s="1" t="s">
        <v>38</v>
      </c>
      <c r="E59" s="1" t="s">
        <v>39</v>
      </c>
      <c r="F59" s="1" t="str">
        <f t="shared" si="0"/>
        <v>205</v>
      </c>
      <c r="G59" s="1" t="str">
        <f t="shared" si="10"/>
        <v>65</v>
      </c>
      <c r="H59" s="1" t="str">
        <f t="shared" si="11"/>
        <v>16</v>
      </c>
      <c r="I59" s="1" t="s">
        <v>31</v>
      </c>
      <c r="J59" s="1" t="s">
        <v>40</v>
      </c>
      <c r="K59" s="1" t="s">
        <v>43</v>
      </c>
      <c r="L59" s="1" t="s">
        <v>44</v>
      </c>
      <c r="M59" s="2">
        <v>6</v>
      </c>
      <c r="N59" s="5">
        <v>6768.9000000000005</v>
      </c>
      <c r="O59" s="1">
        <v>250</v>
      </c>
      <c r="P59" s="1">
        <v>80</v>
      </c>
      <c r="Q59" s="1">
        <v>5</v>
      </c>
      <c r="R59" s="3">
        <v>0.97857085448718417</v>
      </c>
      <c r="S59" s="4">
        <v>0.1176542094514527</v>
      </c>
      <c r="T59" s="3">
        <v>0.62514239823865525</v>
      </c>
      <c r="U59" s="9">
        <v>46051</v>
      </c>
    </row>
    <row r="60" spans="1:21" s="1" customFormat="1" ht="12.75">
      <c r="A60" s="1">
        <v>59</v>
      </c>
      <c r="B60" s="1" t="s">
        <v>29</v>
      </c>
      <c r="C60" s="1" t="s">
        <v>37</v>
      </c>
      <c r="D60" s="1" t="s">
        <v>38</v>
      </c>
      <c r="E60" s="1" t="s">
        <v>39</v>
      </c>
      <c r="F60" s="1" t="str">
        <f t="shared" si="0"/>
        <v>205</v>
      </c>
      <c r="G60" s="1" t="str">
        <f t="shared" si="10"/>
        <v>65</v>
      </c>
      <c r="H60" s="1" t="str">
        <f t="shared" si="11"/>
        <v>16</v>
      </c>
      <c r="I60" s="1" t="s">
        <v>31</v>
      </c>
      <c r="J60" s="1" t="s">
        <v>40</v>
      </c>
      <c r="K60" s="1" t="s">
        <v>43</v>
      </c>
      <c r="L60" s="1" t="s">
        <v>44</v>
      </c>
      <c r="M60" s="2">
        <v>6</v>
      </c>
      <c r="N60" s="5">
        <v>6768.9000000000005</v>
      </c>
      <c r="O60" s="1">
        <v>250</v>
      </c>
      <c r="P60" s="1">
        <v>80</v>
      </c>
      <c r="Q60" s="1">
        <v>6</v>
      </c>
      <c r="R60" s="3">
        <v>1.002545857856977</v>
      </c>
      <c r="S60" s="4">
        <v>9.7215836024751895E-2</v>
      </c>
      <c r="T60" s="3">
        <v>0.64552206292563485</v>
      </c>
      <c r="U60" s="9">
        <v>46051</v>
      </c>
    </row>
    <row r="61" spans="1:21" s="1" customFormat="1" ht="12.75">
      <c r="A61" s="1">
        <v>60</v>
      </c>
      <c r="B61" s="1" t="s">
        <v>21</v>
      </c>
      <c r="C61" s="1" t="s">
        <v>37</v>
      </c>
      <c r="D61" s="1" t="s">
        <v>38</v>
      </c>
      <c r="E61" s="1" t="s">
        <v>45</v>
      </c>
      <c r="F61" s="1" t="str">
        <f t="shared" si="0"/>
        <v>205</v>
      </c>
      <c r="G61" s="1" t="str">
        <f t="shared" si="10"/>
        <v>55</v>
      </c>
      <c r="H61" s="1" t="str">
        <f t="shared" si="11"/>
        <v>16</v>
      </c>
      <c r="I61" s="1" t="s">
        <v>31</v>
      </c>
      <c r="J61" s="1" t="s">
        <v>46</v>
      </c>
      <c r="K61" s="1" t="s">
        <v>47</v>
      </c>
      <c r="L61" s="1" t="s">
        <v>42</v>
      </c>
      <c r="M61" s="2">
        <v>6.5</v>
      </c>
      <c r="N61" s="5">
        <f>615*9.81</f>
        <v>6033.1500000000005</v>
      </c>
      <c r="O61" s="1">
        <v>250</v>
      </c>
      <c r="P61" s="1">
        <v>80</v>
      </c>
      <c r="Q61" s="1">
        <v>1</v>
      </c>
      <c r="R61" s="3">
        <v>0.79650211366832135</v>
      </c>
      <c r="S61" s="4">
        <v>8.5918945136026062E-2</v>
      </c>
      <c r="T61" s="3">
        <v>0.46126486003423639</v>
      </c>
      <c r="U61" s="9">
        <v>46052</v>
      </c>
    </row>
    <row r="62" spans="1:21" s="1" customFormat="1" ht="12.75">
      <c r="A62" s="1">
        <v>61</v>
      </c>
      <c r="B62" s="1" t="s">
        <v>21</v>
      </c>
      <c r="C62" s="1" t="s">
        <v>37</v>
      </c>
      <c r="D62" s="1" t="s">
        <v>38</v>
      </c>
      <c r="E62" s="1" t="s">
        <v>45</v>
      </c>
      <c r="F62" s="1" t="str">
        <f t="shared" si="0"/>
        <v>205</v>
      </c>
      <c r="G62" s="1" t="str">
        <f t="shared" ref="G62:G65" si="12">MID(E62,5,2)</f>
        <v>55</v>
      </c>
      <c r="H62" s="1" t="str">
        <f t="shared" ref="H62:H65" si="13">MID(E62,8,2)</f>
        <v>16</v>
      </c>
      <c r="I62" s="1" t="s">
        <v>31</v>
      </c>
      <c r="J62" s="1" t="s">
        <v>46</v>
      </c>
      <c r="K62" s="1" t="s">
        <v>47</v>
      </c>
      <c r="L62" s="1" t="s">
        <v>42</v>
      </c>
      <c r="M62" s="2">
        <v>6.5</v>
      </c>
      <c r="N62" s="5">
        <f t="shared" ref="N62:N83" si="14">615*9.81</f>
        <v>6033.1500000000005</v>
      </c>
      <c r="O62" s="1">
        <v>250</v>
      </c>
      <c r="P62" s="1">
        <v>80</v>
      </c>
      <c r="Q62" s="1">
        <v>2</v>
      </c>
      <c r="R62" s="3">
        <v>0.77655719132436474</v>
      </c>
      <c r="S62" s="4">
        <v>0.17958570189308209</v>
      </c>
      <c r="T62" s="3">
        <v>0.41085549122266368</v>
      </c>
      <c r="U62" s="9">
        <v>46052</v>
      </c>
    </row>
    <row r="63" spans="1:21" s="1" customFormat="1" ht="12.75">
      <c r="A63" s="1">
        <v>62</v>
      </c>
      <c r="B63" s="1" t="s">
        <v>21</v>
      </c>
      <c r="C63" s="1" t="s">
        <v>37</v>
      </c>
      <c r="D63" s="1" t="s">
        <v>38</v>
      </c>
      <c r="E63" s="1" t="s">
        <v>45</v>
      </c>
      <c r="F63" s="1" t="str">
        <f t="shared" si="0"/>
        <v>205</v>
      </c>
      <c r="G63" s="1" t="str">
        <f t="shared" si="12"/>
        <v>55</v>
      </c>
      <c r="H63" s="1" t="str">
        <f t="shared" si="13"/>
        <v>16</v>
      </c>
      <c r="I63" s="1" t="s">
        <v>31</v>
      </c>
      <c r="J63" s="1" t="s">
        <v>46</v>
      </c>
      <c r="K63" s="1" t="s">
        <v>47</v>
      </c>
      <c r="L63" s="1" t="s">
        <v>42</v>
      </c>
      <c r="M63" s="2">
        <v>6.5</v>
      </c>
      <c r="N63" s="5">
        <f t="shared" si="14"/>
        <v>6033.1500000000005</v>
      </c>
      <c r="O63" s="1">
        <v>250</v>
      </c>
      <c r="P63" s="1">
        <v>80</v>
      </c>
      <c r="Q63" s="1">
        <v>3</v>
      </c>
      <c r="R63" s="3">
        <v>0.86568626937093263</v>
      </c>
      <c r="S63" s="4">
        <v>0.12514080014365311</v>
      </c>
      <c r="T63" s="3">
        <v>0.55275713843412788</v>
      </c>
      <c r="U63" s="9">
        <v>46052</v>
      </c>
    </row>
    <row r="64" spans="1:21" s="1" customFormat="1" ht="12.75">
      <c r="A64" s="1">
        <v>63</v>
      </c>
      <c r="B64" s="1" t="s">
        <v>21</v>
      </c>
      <c r="C64" s="1" t="s">
        <v>37</v>
      </c>
      <c r="D64" s="1" t="s">
        <v>38</v>
      </c>
      <c r="E64" s="1" t="s">
        <v>45</v>
      </c>
      <c r="F64" s="1" t="str">
        <f t="shared" si="0"/>
        <v>205</v>
      </c>
      <c r="G64" s="1" t="str">
        <f t="shared" si="12"/>
        <v>55</v>
      </c>
      <c r="H64" s="1" t="str">
        <f t="shared" si="13"/>
        <v>16</v>
      </c>
      <c r="I64" s="1" t="s">
        <v>31</v>
      </c>
      <c r="J64" s="1" t="s">
        <v>46</v>
      </c>
      <c r="K64" s="1" t="s">
        <v>47</v>
      </c>
      <c r="L64" s="1" t="s">
        <v>42</v>
      </c>
      <c r="M64" s="2">
        <v>6.5</v>
      </c>
      <c r="N64" s="5">
        <f t="shared" si="14"/>
        <v>6033.1500000000005</v>
      </c>
      <c r="O64" s="1">
        <v>250</v>
      </c>
      <c r="P64" s="1">
        <v>80</v>
      </c>
      <c r="Q64" s="1">
        <v>4</v>
      </c>
      <c r="R64" s="3">
        <v>0.88070241323814291</v>
      </c>
      <c r="S64" s="4">
        <v>7.8243462326234497E-2</v>
      </c>
      <c r="T64" s="3">
        <v>0.42015437613957429</v>
      </c>
      <c r="U64" s="9">
        <v>46052</v>
      </c>
    </row>
    <row r="65" spans="1:21" s="1" customFormat="1" ht="12.75">
      <c r="A65" s="1">
        <v>64</v>
      </c>
      <c r="B65" s="1" t="s">
        <v>21</v>
      </c>
      <c r="C65" s="1" t="s">
        <v>37</v>
      </c>
      <c r="D65" s="1" t="s">
        <v>38</v>
      </c>
      <c r="E65" s="1" t="s">
        <v>45</v>
      </c>
      <c r="F65" s="1" t="str">
        <f t="shared" si="0"/>
        <v>205</v>
      </c>
      <c r="G65" s="1" t="str">
        <f t="shared" si="12"/>
        <v>55</v>
      </c>
      <c r="H65" s="1" t="str">
        <f t="shared" si="13"/>
        <v>16</v>
      </c>
      <c r="I65" s="1" t="s">
        <v>31</v>
      </c>
      <c r="J65" s="1" t="s">
        <v>46</v>
      </c>
      <c r="K65" s="1" t="s">
        <v>47</v>
      </c>
      <c r="L65" s="1" t="s">
        <v>42</v>
      </c>
      <c r="M65" s="2">
        <v>6.5</v>
      </c>
      <c r="N65" s="5">
        <f t="shared" si="14"/>
        <v>6033.1500000000005</v>
      </c>
      <c r="O65" s="1">
        <v>250</v>
      </c>
      <c r="P65" s="1">
        <v>80</v>
      </c>
      <c r="Q65" s="1">
        <v>5</v>
      </c>
      <c r="R65" s="3">
        <v>0.83484800637900913</v>
      </c>
      <c r="S65" s="4">
        <v>0.10556016672168381</v>
      </c>
      <c r="T65" s="3">
        <v>0.4144590210375938</v>
      </c>
      <c r="U65" s="9">
        <v>46052</v>
      </c>
    </row>
    <row r="66" spans="1:21" s="1" customFormat="1" ht="12.75">
      <c r="A66" s="1">
        <v>65</v>
      </c>
      <c r="B66" s="1" t="s">
        <v>29</v>
      </c>
      <c r="C66" s="1" t="s">
        <v>37</v>
      </c>
      <c r="D66" s="1" t="s">
        <v>38</v>
      </c>
      <c r="E66" s="1" t="s">
        <v>45</v>
      </c>
      <c r="F66" s="1" t="str">
        <f t="shared" si="0"/>
        <v>205</v>
      </c>
      <c r="G66" s="1" t="str">
        <f t="shared" ref="G66:G71" si="15">MID(E66,5,2)</f>
        <v>55</v>
      </c>
      <c r="H66" s="1" t="str">
        <f t="shared" ref="H66:H71" si="16">MID(E66,8,2)</f>
        <v>16</v>
      </c>
      <c r="I66" s="1" t="s">
        <v>31</v>
      </c>
      <c r="J66" s="1" t="s">
        <v>46</v>
      </c>
      <c r="K66" s="1" t="s">
        <v>47</v>
      </c>
      <c r="L66" s="1" t="s">
        <v>42</v>
      </c>
      <c r="M66" s="2">
        <v>6.5</v>
      </c>
      <c r="N66" s="5">
        <f t="shared" si="14"/>
        <v>6033.1500000000005</v>
      </c>
      <c r="O66" s="1">
        <v>250</v>
      </c>
      <c r="P66" s="1">
        <v>80</v>
      </c>
      <c r="Q66" s="1">
        <v>1</v>
      </c>
      <c r="R66" s="3">
        <v>0.9817507740201028</v>
      </c>
      <c r="S66" s="4">
        <v>0.1079811826736063</v>
      </c>
      <c r="T66" s="3">
        <v>0.50306036759837913</v>
      </c>
      <c r="U66" s="9">
        <v>46052</v>
      </c>
    </row>
    <row r="67" spans="1:21" s="1" customFormat="1" ht="12.75">
      <c r="A67" s="1">
        <v>66</v>
      </c>
      <c r="B67" s="1" t="s">
        <v>29</v>
      </c>
      <c r="C67" s="1" t="s">
        <v>37</v>
      </c>
      <c r="D67" s="1" t="s">
        <v>38</v>
      </c>
      <c r="E67" s="1" t="s">
        <v>45</v>
      </c>
      <c r="F67" s="1" t="str">
        <f t="shared" ref="F67:F84" si="17">LEFT(E67,3)</f>
        <v>205</v>
      </c>
      <c r="G67" s="1" t="str">
        <f t="shared" si="15"/>
        <v>55</v>
      </c>
      <c r="H67" s="1" t="str">
        <f t="shared" si="16"/>
        <v>16</v>
      </c>
      <c r="I67" s="1" t="s">
        <v>31</v>
      </c>
      <c r="J67" s="1" t="s">
        <v>46</v>
      </c>
      <c r="K67" s="1" t="s">
        <v>47</v>
      </c>
      <c r="L67" s="1" t="s">
        <v>42</v>
      </c>
      <c r="M67" s="2">
        <v>6.5</v>
      </c>
      <c r="N67" s="5">
        <f t="shared" si="14"/>
        <v>6033.1500000000005</v>
      </c>
      <c r="O67" s="1">
        <v>250</v>
      </c>
      <c r="P67" s="1">
        <v>80</v>
      </c>
      <c r="Q67" s="1">
        <v>2</v>
      </c>
      <c r="R67" s="3">
        <v>1.013539129868007</v>
      </c>
      <c r="S67" s="4">
        <v>0.102097086966525</v>
      </c>
      <c r="T67" s="3">
        <v>0.50044522122410451</v>
      </c>
      <c r="U67" s="9">
        <v>46052</v>
      </c>
    </row>
    <row r="68" spans="1:21" s="1" customFormat="1" ht="12.75">
      <c r="A68" s="1">
        <v>67</v>
      </c>
      <c r="B68" s="1" t="s">
        <v>29</v>
      </c>
      <c r="C68" s="1" t="s">
        <v>37</v>
      </c>
      <c r="D68" s="1" t="s">
        <v>38</v>
      </c>
      <c r="E68" s="1" t="s">
        <v>45</v>
      </c>
      <c r="F68" s="1" t="str">
        <f t="shared" si="17"/>
        <v>205</v>
      </c>
      <c r="G68" s="1" t="str">
        <f t="shared" si="15"/>
        <v>55</v>
      </c>
      <c r="H68" s="1" t="str">
        <f t="shared" si="16"/>
        <v>16</v>
      </c>
      <c r="I68" s="1" t="s">
        <v>31</v>
      </c>
      <c r="J68" s="1" t="s">
        <v>46</v>
      </c>
      <c r="K68" s="1" t="s">
        <v>47</v>
      </c>
      <c r="L68" s="1" t="s">
        <v>42</v>
      </c>
      <c r="M68" s="2">
        <v>6.5</v>
      </c>
      <c r="N68" s="5">
        <f t="shared" si="14"/>
        <v>6033.1500000000005</v>
      </c>
      <c r="O68" s="1">
        <v>250</v>
      </c>
      <c r="P68" s="1">
        <v>80</v>
      </c>
      <c r="Q68" s="1">
        <v>3</v>
      </c>
      <c r="R68" s="3">
        <v>1.051032147394368</v>
      </c>
      <c r="S68" s="4">
        <v>0.12137244085013579</v>
      </c>
      <c r="T68" s="3">
        <v>0.64530892204835422</v>
      </c>
      <c r="U68" s="9">
        <v>46052</v>
      </c>
    </row>
    <row r="69" spans="1:21" s="1" customFormat="1" ht="12.75">
      <c r="A69" s="1">
        <v>68</v>
      </c>
      <c r="B69" s="1" t="s">
        <v>29</v>
      </c>
      <c r="C69" s="1" t="s">
        <v>37</v>
      </c>
      <c r="D69" s="1" t="s">
        <v>38</v>
      </c>
      <c r="E69" s="1" t="s">
        <v>45</v>
      </c>
      <c r="F69" s="1" t="str">
        <f t="shared" si="17"/>
        <v>205</v>
      </c>
      <c r="G69" s="1" t="str">
        <f t="shared" si="15"/>
        <v>55</v>
      </c>
      <c r="H69" s="1" t="str">
        <f t="shared" si="16"/>
        <v>16</v>
      </c>
      <c r="I69" s="1" t="s">
        <v>31</v>
      </c>
      <c r="J69" s="1" t="s">
        <v>46</v>
      </c>
      <c r="K69" s="1" t="s">
        <v>47</v>
      </c>
      <c r="L69" s="1" t="s">
        <v>42</v>
      </c>
      <c r="M69" s="2">
        <v>6.5</v>
      </c>
      <c r="N69" s="5">
        <f t="shared" si="14"/>
        <v>6033.1500000000005</v>
      </c>
      <c r="O69" s="1">
        <v>250</v>
      </c>
      <c r="P69" s="1">
        <v>80</v>
      </c>
      <c r="Q69" s="1">
        <v>4</v>
      </c>
      <c r="R69" s="3">
        <v>1.031249286962618</v>
      </c>
      <c r="S69" s="4">
        <v>0.10480313060142379</v>
      </c>
      <c r="T69" s="3">
        <v>0.60887455157474679</v>
      </c>
      <c r="U69" s="9">
        <v>46052</v>
      </c>
    </row>
    <row r="70" spans="1:21" s="1" customFormat="1" ht="12.75">
      <c r="A70" s="1">
        <v>69</v>
      </c>
      <c r="B70" s="1" t="s">
        <v>29</v>
      </c>
      <c r="C70" s="1" t="s">
        <v>37</v>
      </c>
      <c r="D70" s="1" t="s">
        <v>38</v>
      </c>
      <c r="E70" s="1" t="s">
        <v>45</v>
      </c>
      <c r="F70" s="1" t="str">
        <f t="shared" si="17"/>
        <v>205</v>
      </c>
      <c r="G70" s="1" t="str">
        <f t="shared" si="15"/>
        <v>55</v>
      </c>
      <c r="H70" s="1" t="str">
        <f t="shared" si="16"/>
        <v>16</v>
      </c>
      <c r="I70" s="1" t="s">
        <v>31</v>
      </c>
      <c r="J70" s="1" t="s">
        <v>46</v>
      </c>
      <c r="K70" s="1" t="s">
        <v>47</v>
      </c>
      <c r="L70" s="1" t="s">
        <v>42</v>
      </c>
      <c r="M70" s="2">
        <v>6.5</v>
      </c>
      <c r="N70" s="5">
        <f t="shared" si="14"/>
        <v>6033.1500000000005</v>
      </c>
      <c r="O70" s="1">
        <v>250</v>
      </c>
      <c r="P70" s="1">
        <v>80</v>
      </c>
      <c r="Q70" s="1">
        <v>5</v>
      </c>
      <c r="R70" s="3">
        <v>0.99802365928144066</v>
      </c>
      <c r="S70" s="4">
        <v>0.12883153855636431</v>
      </c>
      <c r="T70" s="3">
        <v>0.55911434965808038</v>
      </c>
      <c r="U70" s="9">
        <v>46052</v>
      </c>
    </row>
    <row r="71" spans="1:21" s="1" customFormat="1" ht="12.75">
      <c r="A71" s="1">
        <v>70</v>
      </c>
      <c r="B71" s="1" t="s">
        <v>29</v>
      </c>
      <c r="C71" s="1" t="s">
        <v>37</v>
      </c>
      <c r="D71" s="1" t="s">
        <v>38</v>
      </c>
      <c r="E71" s="1" t="s">
        <v>45</v>
      </c>
      <c r="F71" s="1" t="str">
        <f t="shared" si="17"/>
        <v>205</v>
      </c>
      <c r="G71" s="1" t="str">
        <f t="shared" si="15"/>
        <v>55</v>
      </c>
      <c r="H71" s="1" t="str">
        <f t="shared" si="16"/>
        <v>16</v>
      </c>
      <c r="I71" s="1" t="s">
        <v>31</v>
      </c>
      <c r="J71" s="1" t="s">
        <v>46</v>
      </c>
      <c r="K71" s="1" t="s">
        <v>47</v>
      </c>
      <c r="L71" s="1" t="s">
        <v>42</v>
      </c>
      <c r="M71" s="2">
        <v>6.5</v>
      </c>
      <c r="N71" s="5">
        <f t="shared" si="14"/>
        <v>6033.1500000000005</v>
      </c>
      <c r="O71" s="1">
        <v>250</v>
      </c>
      <c r="P71" s="1">
        <v>80</v>
      </c>
      <c r="Q71" s="1">
        <v>6</v>
      </c>
      <c r="R71" s="3">
        <v>1.029388140373048</v>
      </c>
      <c r="S71" s="4">
        <v>0.12565059211684559</v>
      </c>
      <c r="T71" s="3">
        <v>0.53320634489439256</v>
      </c>
      <c r="U71" s="9">
        <v>46052</v>
      </c>
    </row>
    <row r="72" spans="1:21" s="1" customFormat="1" ht="12.75">
      <c r="A72" s="1">
        <v>71</v>
      </c>
      <c r="B72" s="1" t="s">
        <v>21</v>
      </c>
      <c r="C72" s="1" t="s">
        <v>37</v>
      </c>
      <c r="D72" s="1" t="s">
        <v>38</v>
      </c>
      <c r="E72" s="1" t="s">
        <v>45</v>
      </c>
      <c r="F72" s="1" t="str">
        <f t="shared" si="17"/>
        <v>205</v>
      </c>
      <c r="G72" s="1" t="str">
        <f t="shared" ref="G72:G84" si="18">MID(E72,5,2)</f>
        <v>55</v>
      </c>
      <c r="H72" s="1" t="str">
        <f t="shared" ref="H72:H84" si="19">MID(E72,8,2)</f>
        <v>16</v>
      </c>
      <c r="I72" s="1" t="s">
        <v>31</v>
      </c>
      <c r="J72" s="1" t="s">
        <v>46</v>
      </c>
      <c r="K72" s="1" t="s">
        <v>48</v>
      </c>
      <c r="L72" s="1" t="s">
        <v>44</v>
      </c>
      <c r="M72" s="2">
        <v>6.5</v>
      </c>
      <c r="N72" s="5">
        <f t="shared" si="14"/>
        <v>6033.1500000000005</v>
      </c>
      <c r="O72" s="1">
        <v>250</v>
      </c>
      <c r="P72" s="1">
        <v>80</v>
      </c>
      <c r="Q72" s="1">
        <v>1</v>
      </c>
      <c r="R72" s="3">
        <v>0.82074080626769541</v>
      </c>
      <c r="S72" s="4">
        <v>7.0885104013092823E-2</v>
      </c>
      <c r="T72" s="3">
        <v>0.43180226556880652</v>
      </c>
      <c r="U72" s="9">
        <v>46052</v>
      </c>
    </row>
    <row r="73" spans="1:21" s="1" customFormat="1" ht="12.75">
      <c r="A73" s="1">
        <v>72</v>
      </c>
      <c r="B73" s="1" t="s">
        <v>21</v>
      </c>
      <c r="C73" s="1" t="s">
        <v>37</v>
      </c>
      <c r="D73" s="1" t="s">
        <v>38</v>
      </c>
      <c r="E73" s="1" t="s">
        <v>45</v>
      </c>
      <c r="F73" s="1" t="str">
        <f t="shared" si="17"/>
        <v>205</v>
      </c>
      <c r="G73" s="1" t="str">
        <f t="shared" si="18"/>
        <v>55</v>
      </c>
      <c r="H73" s="1" t="str">
        <f t="shared" si="19"/>
        <v>16</v>
      </c>
      <c r="I73" s="1" t="s">
        <v>31</v>
      </c>
      <c r="J73" s="1" t="s">
        <v>46</v>
      </c>
      <c r="K73" s="1" t="s">
        <v>48</v>
      </c>
      <c r="L73" s="1" t="s">
        <v>44</v>
      </c>
      <c r="M73" s="2">
        <v>6.5</v>
      </c>
      <c r="N73" s="5">
        <f t="shared" si="14"/>
        <v>6033.1500000000005</v>
      </c>
      <c r="O73" s="1">
        <v>250</v>
      </c>
      <c r="P73" s="1">
        <v>80</v>
      </c>
      <c r="Q73" s="1">
        <v>2</v>
      </c>
      <c r="R73" s="3">
        <v>0.86566296848538382</v>
      </c>
      <c r="S73" s="4">
        <v>0.103943244518703</v>
      </c>
      <c r="T73" s="3">
        <v>0.45132372070560001</v>
      </c>
      <c r="U73" s="9">
        <v>46052</v>
      </c>
    </row>
    <row r="74" spans="1:21" s="1" customFormat="1" ht="12.75">
      <c r="A74" s="1">
        <v>73</v>
      </c>
      <c r="B74" s="1" t="s">
        <v>21</v>
      </c>
      <c r="C74" s="1" t="s">
        <v>37</v>
      </c>
      <c r="D74" s="1" t="s">
        <v>38</v>
      </c>
      <c r="E74" s="1" t="s">
        <v>45</v>
      </c>
      <c r="F74" s="1" t="str">
        <f t="shared" si="17"/>
        <v>205</v>
      </c>
      <c r="G74" s="1" t="str">
        <f t="shared" si="18"/>
        <v>55</v>
      </c>
      <c r="H74" s="1" t="str">
        <f t="shared" si="19"/>
        <v>16</v>
      </c>
      <c r="I74" s="1" t="s">
        <v>31</v>
      </c>
      <c r="J74" s="1" t="s">
        <v>46</v>
      </c>
      <c r="K74" s="1" t="s">
        <v>48</v>
      </c>
      <c r="L74" s="1" t="s">
        <v>44</v>
      </c>
      <c r="M74" s="2">
        <v>6.5</v>
      </c>
      <c r="N74" s="5">
        <f t="shared" si="14"/>
        <v>6033.1500000000005</v>
      </c>
      <c r="O74" s="1">
        <v>250</v>
      </c>
      <c r="P74" s="1">
        <v>80</v>
      </c>
      <c r="Q74" s="1">
        <v>3</v>
      </c>
      <c r="R74" s="3">
        <v>0.85037972577488552</v>
      </c>
      <c r="S74" s="4">
        <v>0.1107101976919859</v>
      </c>
      <c r="T74" s="3">
        <v>0.39107078183429889</v>
      </c>
      <c r="U74" s="9">
        <v>46052</v>
      </c>
    </row>
    <row r="75" spans="1:21" s="1" customFormat="1" ht="12.75">
      <c r="A75" s="1">
        <v>74</v>
      </c>
      <c r="B75" s="1" t="s">
        <v>21</v>
      </c>
      <c r="C75" s="1" t="s">
        <v>37</v>
      </c>
      <c r="D75" s="1" t="s">
        <v>38</v>
      </c>
      <c r="E75" s="1" t="s">
        <v>45</v>
      </c>
      <c r="F75" s="1" t="str">
        <f t="shared" si="17"/>
        <v>205</v>
      </c>
      <c r="G75" s="1" t="str">
        <f t="shared" si="18"/>
        <v>55</v>
      </c>
      <c r="H75" s="1" t="str">
        <f t="shared" si="19"/>
        <v>16</v>
      </c>
      <c r="I75" s="1" t="s">
        <v>31</v>
      </c>
      <c r="J75" s="1" t="s">
        <v>46</v>
      </c>
      <c r="K75" s="1" t="s">
        <v>48</v>
      </c>
      <c r="L75" s="1" t="s">
        <v>44</v>
      </c>
      <c r="M75" s="2">
        <v>6.5</v>
      </c>
      <c r="N75" s="5">
        <f t="shared" si="14"/>
        <v>6033.1500000000005</v>
      </c>
      <c r="O75" s="1">
        <v>250</v>
      </c>
      <c r="P75" s="1">
        <v>80</v>
      </c>
      <c r="Q75" s="1">
        <v>4</v>
      </c>
      <c r="R75" s="3">
        <v>0.85117045368507749</v>
      </c>
      <c r="S75" s="4">
        <v>0.12243435610953141</v>
      </c>
      <c r="T75" s="3">
        <v>0.43307561632079478</v>
      </c>
      <c r="U75" s="9">
        <v>46052</v>
      </c>
    </row>
    <row r="76" spans="1:21" s="1" customFormat="1" ht="12.75">
      <c r="A76" s="1">
        <v>75</v>
      </c>
      <c r="B76" s="1" t="s">
        <v>21</v>
      </c>
      <c r="C76" s="1" t="s">
        <v>37</v>
      </c>
      <c r="D76" s="1" t="s">
        <v>38</v>
      </c>
      <c r="E76" s="1" t="s">
        <v>45</v>
      </c>
      <c r="F76" s="1" t="str">
        <f t="shared" si="17"/>
        <v>205</v>
      </c>
      <c r="G76" s="1" t="str">
        <f t="shared" si="18"/>
        <v>55</v>
      </c>
      <c r="H76" s="1" t="str">
        <f t="shared" si="19"/>
        <v>16</v>
      </c>
      <c r="I76" s="1" t="s">
        <v>31</v>
      </c>
      <c r="J76" s="1" t="s">
        <v>46</v>
      </c>
      <c r="K76" s="1" t="s">
        <v>48</v>
      </c>
      <c r="L76" s="1" t="s">
        <v>44</v>
      </c>
      <c r="M76" s="2">
        <v>6.5</v>
      </c>
      <c r="N76" s="5">
        <f t="shared" si="14"/>
        <v>6033.1500000000005</v>
      </c>
      <c r="O76" s="1">
        <v>250</v>
      </c>
      <c r="P76" s="1">
        <v>80</v>
      </c>
      <c r="Q76" s="1">
        <v>5</v>
      </c>
      <c r="R76" s="3">
        <v>0.83163585953343888</v>
      </c>
      <c r="S76" s="4">
        <v>0.1075202442105397</v>
      </c>
      <c r="T76" s="3">
        <v>0.43695355439820521</v>
      </c>
      <c r="U76" s="9">
        <v>46052</v>
      </c>
    </row>
    <row r="77" spans="1:21" s="1" customFormat="1" ht="12.75">
      <c r="A77" s="1">
        <v>76</v>
      </c>
      <c r="B77" s="1" t="s">
        <v>21</v>
      </c>
      <c r="C77" s="1" t="s">
        <v>37</v>
      </c>
      <c r="D77" s="1" t="s">
        <v>38</v>
      </c>
      <c r="E77" s="1" t="s">
        <v>45</v>
      </c>
      <c r="F77" s="1" t="str">
        <f t="shared" si="17"/>
        <v>205</v>
      </c>
      <c r="G77" s="1" t="str">
        <f t="shared" si="18"/>
        <v>55</v>
      </c>
      <c r="H77" s="1" t="str">
        <f t="shared" si="19"/>
        <v>16</v>
      </c>
      <c r="I77" s="1" t="s">
        <v>31</v>
      </c>
      <c r="J77" s="1" t="s">
        <v>46</v>
      </c>
      <c r="K77" s="1" t="s">
        <v>48</v>
      </c>
      <c r="L77" s="1" t="s">
        <v>44</v>
      </c>
      <c r="M77" s="2">
        <v>6.5</v>
      </c>
      <c r="N77" s="5">
        <f t="shared" si="14"/>
        <v>6033.1500000000005</v>
      </c>
      <c r="O77" s="1">
        <v>250</v>
      </c>
      <c r="P77" s="1">
        <v>80</v>
      </c>
      <c r="Q77" s="1">
        <v>6</v>
      </c>
      <c r="R77" s="3">
        <v>0.843170360491315</v>
      </c>
      <c r="S77" s="4">
        <v>0.13271467777465251</v>
      </c>
      <c r="T77" s="3">
        <v>0.42898115624562888</v>
      </c>
      <c r="U77" s="9">
        <v>46052</v>
      </c>
    </row>
    <row r="78" spans="1:21" s="1" customFormat="1" ht="12.75">
      <c r="A78" s="1">
        <v>77</v>
      </c>
      <c r="B78" s="1" t="s">
        <v>29</v>
      </c>
      <c r="C78" s="1" t="s">
        <v>37</v>
      </c>
      <c r="D78" s="1" t="s">
        <v>38</v>
      </c>
      <c r="E78" s="1" t="s">
        <v>45</v>
      </c>
      <c r="F78" s="1" t="str">
        <f t="shared" si="17"/>
        <v>205</v>
      </c>
      <c r="G78" s="1" t="str">
        <f t="shared" si="18"/>
        <v>55</v>
      </c>
      <c r="H78" s="1" t="str">
        <f t="shared" si="19"/>
        <v>16</v>
      </c>
      <c r="I78" s="1" t="s">
        <v>31</v>
      </c>
      <c r="J78" s="1" t="s">
        <v>46</v>
      </c>
      <c r="K78" s="1" t="s">
        <v>48</v>
      </c>
      <c r="L78" s="1" t="s">
        <v>44</v>
      </c>
      <c r="M78" s="2">
        <v>6.5</v>
      </c>
      <c r="N78" s="5">
        <f t="shared" si="14"/>
        <v>6033.1500000000005</v>
      </c>
      <c r="O78" s="1">
        <v>250</v>
      </c>
      <c r="P78" s="1">
        <v>80</v>
      </c>
      <c r="Q78" s="1">
        <v>1</v>
      </c>
      <c r="R78" s="3">
        <v>1.0283578982508721</v>
      </c>
      <c r="S78" s="4">
        <v>0.13499295901492059</v>
      </c>
      <c r="T78" s="3">
        <v>0.5252091754010324</v>
      </c>
      <c r="U78" s="9">
        <v>46052</v>
      </c>
    </row>
    <row r="79" spans="1:21" s="1" customFormat="1" ht="12.75">
      <c r="A79" s="1">
        <v>78</v>
      </c>
      <c r="B79" s="1" t="s">
        <v>29</v>
      </c>
      <c r="C79" s="1" t="s">
        <v>37</v>
      </c>
      <c r="D79" s="1" t="s">
        <v>38</v>
      </c>
      <c r="E79" s="1" t="s">
        <v>45</v>
      </c>
      <c r="F79" s="1" t="str">
        <f t="shared" si="17"/>
        <v>205</v>
      </c>
      <c r="G79" s="1" t="str">
        <f t="shared" si="18"/>
        <v>55</v>
      </c>
      <c r="H79" s="1" t="str">
        <f t="shared" si="19"/>
        <v>16</v>
      </c>
      <c r="I79" s="1" t="s">
        <v>31</v>
      </c>
      <c r="J79" s="1" t="s">
        <v>46</v>
      </c>
      <c r="K79" s="1" t="s">
        <v>48</v>
      </c>
      <c r="L79" s="1" t="s">
        <v>44</v>
      </c>
      <c r="M79" s="2">
        <v>6.5</v>
      </c>
      <c r="N79" s="5">
        <f t="shared" si="14"/>
        <v>6033.1500000000005</v>
      </c>
      <c r="O79" s="1">
        <v>250</v>
      </c>
      <c r="P79" s="1">
        <v>80</v>
      </c>
      <c r="Q79" s="1">
        <v>2</v>
      </c>
      <c r="R79" s="3">
        <v>1.035981132398121</v>
      </c>
      <c r="S79" s="4">
        <v>0.1320538886629416</v>
      </c>
      <c r="T79" s="3">
        <v>0.51153476510802687</v>
      </c>
      <c r="U79" s="9">
        <v>46052</v>
      </c>
    </row>
    <row r="80" spans="1:21" s="1" customFormat="1" ht="12.75">
      <c r="A80" s="1">
        <v>79</v>
      </c>
      <c r="B80" s="1" t="s">
        <v>29</v>
      </c>
      <c r="C80" s="1" t="s">
        <v>37</v>
      </c>
      <c r="D80" s="1" t="s">
        <v>38</v>
      </c>
      <c r="E80" s="1" t="s">
        <v>45</v>
      </c>
      <c r="F80" s="1" t="str">
        <f t="shared" si="17"/>
        <v>205</v>
      </c>
      <c r="G80" s="1" t="str">
        <f t="shared" si="18"/>
        <v>55</v>
      </c>
      <c r="H80" s="1" t="str">
        <f t="shared" si="19"/>
        <v>16</v>
      </c>
      <c r="I80" s="1" t="s">
        <v>31</v>
      </c>
      <c r="J80" s="1" t="s">
        <v>46</v>
      </c>
      <c r="K80" s="1" t="s">
        <v>48</v>
      </c>
      <c r="L80" s="1" t="s">
        <v>44</v>
      </c>
      <c r="M80" s="2">
        <v>6.5</v>
      </c>
      <c r="N80" s="5">
        <f t="shared" si="14"/>
        <v>6033.1500000000005</v>
      </c>
      <c r="O80" s="1">
        <v>250</v>
      </c>
      <c r="P80" s="1">
        <v>80</v>
      </c>
      <c r="Q80" s="1">
        <v>3</v>
      </c>
      <c r="R80" s="3">
        <v>1.0331527528433639</v>
      </c>
      <c r="S80" s="4">
        <v>0.13433211209849349</v>
      </c>
      <c r="T80" s="3">
        <v>0.5485705949405022</v>
      </c>
      <c r="U80" s="9">
        <v>46052</v>
      </c>
    </row>
    <row r="81" spans="1:21" s="1" customFormat="1" ht="12.75">
      <c r="A81" s="1">
        <v>80</v>
      </c>
      <c r="B81" s="1" t="s">
        <v>29</v>
      </c>
      <c r="C81" s="1" t="s">
        <v>37</v>
      </c>
      <c r="D81" s="1" t="s">
        <v>38</v>
      </c>
      <c r="E81" s="1" t="s">
        <v>45</v>
      </c>
      <c r="F81" s="1" t="str">
        <f t="shared" si="17"/>
        <v>205</v>
      </c>
      <c r="G81" s="1" t="str">
        <f t="shared" si="18"/>
        <v>55</v>
      </c>
      <c r="H81" s="1" t="str">
        <f t="shared" si="19"/>
        <v>16</v>
      </c>
      <c r="I81" s="1" t="s">
        <v>31</v>
      </c>
      <c r="J81" s="1" t="s">
        <v>46</v>
      </c>
      <c r="K81" s="1" t="s">
        <v>48</v>
      </c>
      <c r="L81" s="1" t="s">
        <v>44</v>
      </c>
      <c r="M81" s="2">
        <v>6.5</v>
      </c>
      <c r="N81" s="5">
        <f t="shared" si="14"/>
        <v>6033.1500000000005</v>
      </c>
      <c r="O81" s="1">
        <v>250</v>
      </c>
      <c r="P81" s="1">
        <v>80</v>
      </c>
      <c r="Q81" s="1">
        <v>4</v>
      </c>
      <c r="R81" s="3">
        <v>1.048389247820382</v>
      </c>
      <c r="S81" s="4">
        <v>0.14155369152446889</v>
      </c>
      <c r="T81" s="3">
        <v>0.51158300496311271</v>
      </c>
      <c r="U81" s="9">
        <v>46052</v>
      </c>
    </row>
    <row r="82" spans="1:21" s="1" customFormat="1" ht="12.75">
      <c r="A82" s="1">
        <v>81</v>
      </c>
      <c r="B82" s="1" t="s">
        <v>29</v>
      </c>
      <c r="C82" s="1" t="s">
        <v>37</v>
      </c>
      <c r="D82" s="1" t="s">
        <v>38</v>
      </c>
      <c r="E82" s="1" t="s">
        <v>45</v>
      </c>
      <c r="F82" s="1" t="str">
        <f t="shared" si="17"/>
        <v>205</v>
      </c>
      <c r="G82" s="1" t="str">
        <f t="shared" si="18"/>
        <v>55</v>
      </c>
      <c r="H82" s="1" t="str">
        <f t="shared" si="19"/>
        <v>16</v>
      </c>
      <c r="I82" s="1" t="s">
        <v>31</v>
      </c>
      <c r="J82" s="1" t="s">
        <v>46</v>
      </c>
      <c r="K82" s="1" t="s">
        <v>48</v>
      </c>
      <c r="L82" s="1" t="s">
        <v>44</v>
      </c>
      <c r="M82" s="2">
        <v>6.5</v>
      </c>
      <c r="N82" s="5">
        <f t="shared" si="14"/>
        <v>6033.1500000000005</v>
      </c>
      <c r="O82" s="1">
        <v>250</v>
      </c>
      <c r="P82" s="1">
        <v>80</v>
      </c>
      <c r="Q82" s="1">
        <v>5</v>
      </c>
      <c r="R82" s="3">
        <v>1.0648434313333539</v>
      </c>
      <c r="S82" s="4">
        <v>0.14516393239638281</v>
      </c>
      <c r="T82" s="3">
        <v>0.56001103742281666</v>
      </c>
      <c r="U82" s="9">
        <v>46052</v>
      </c>
    </row>
    <row r="83" spans="1:21" s="1" customFormat="1" ht="12.75">
      <c r="A83" s="1">
        <v>82</v>
      </c>
      <c r="B83" s="1" t="s">
        <v>29</v>
      </c>
      <c r="C83" s="1" t="s">
        <v>37</v>
      </c>
      <c r="D83" s="1" t="s">
        <v>38</v>
      </c>
      <c r="E83" s="1" t="s">
        <v>45</v>
      </c>
      <c r="F83" s="1" t="str">
        <f t="shared" si="17"/>
        <v>205</v>
      </c>
      <c r="G83" s="1" t="str">
        <f t="shared" si="18"/>
        <v>55</v>
      </c>
      <c r="H83" s="1" t="str">
        <f t="shared" si="19"/>
        <v>16</v>
      </c>
      <c r="I83" s="1" t="s">
        <v>31</v>
      </c>
      <c r="J83" s="1" t="s">
        <v>46</v>
      </c>
      <c r="K83" s="1" t="s">
        <v>48</v>
      </c>
      <c r="L83" s="1" t="s">
        <v>44</v>
      </c>
      <c r="M83" s="2">
        <v>6.5</v>
      </c>
      <c r="N83" s="5">
        <f t="shared" si="14"/>
        <v>6033.1500000000005</v>
      </c>
      <c r="O83" s="1">
        <v>250</v>
      </c>
      <c r="P83" s="1">
        <v>80</v>
      </c>
      <c r="Q83" s="1">
        <v>6</v>
      </c>
      <c r="R83" s="3">
        <v>1.0574659712112311</v>
      </c>
      <c r="S83" s="4">
        <v>0.13357929224410819</v>
      </c>
      <c r="T83" s="3">
        <v>0.59937932798591209</v>
      </c>
      <c r="U83" s="9">
        <v>46052</v>
      </c>
    </row>
    <row r="84" spans="1:21" s="1" customFormat="1" ht="12.75">
      <c r="A84" s="1">
        <v>83</v>
      </c>
      <c r="B84" s="1" t="s">
        <v>21</v>
      </c>
      <c r="C84" s="1" t="s">
        <v>37</v>
      </c>
      <c r="D84" s="1" t="s">
        <v>38</v>
      </c>
      <c r="E84" s="1" t="s">
        <v>49</v>
      </c>
      <c r="F84" s="1" t="str">
        <f t="shared" si="17"/>
        <v>215</v>
      </c>
      <c r="G84" s="1" t="str">
        <f t="shared" si="18"/>
        <v>60</v>
      </c>
      <c r="H84" s="1" t="str">
        <f t="shared" si="19"/>
        <v>17</v>
      </c>
      <c r="I84" s="1" t="s">
        <v>31</v>
      </c>
      <c r="J84" s="1" t="s">
        <v>50</v>
      </c>
      <c r="K84" s="1" t="s">
        <v>51</v>
      </c>
      <c r="L84" s="1" t="s">
        <v>42</v>
      </c>
      <c r="M84" s="2">
        <v>6.5</v>
      </c>
      <c r="N84" s="5">
        <f>710*9.81</f>
        <v>6965.1</v>
      </c>
      <c r="O84" s="1">
        <v>250</v>
      </c>
      <c r="P84" s="1">
        <v>80</v>
      </c>
      <c r="Q84" s="1">
        <v>1</v>
      </c>
      <c r="R84" s="3">
        <v>0.73177580434891187</v>
      </c>
      <c r="S84" s="4">
        <v>9.8918128109007908E-2</v>
      </c>
      <c r="T84" s="3">
        <v>0.38511497079621609</v>
      </c>
      <c r="U84" s="9">
        <v>46055</v>
      </c>
    </row>
    <row r="85" spans="1:21" s="1" customFormat="1" ht="12.75">
      <c r="A85" s="1">
        <v>84</v>
      </c>
      <c r="B85" s="1" t="s">
        <v>21</v>
      </c>
      <c r="C85" s="1" t="s">
        <v>37</v>
      </c>
      <c r="D85" s="1" t="s">
        <v>38</v>
      </c>
      <c r="E85" s="1" t="s">
        <v>49</v>
      </c>
      <c r="F85" s="1" t="str">
        <f t="shared" ref="F85:F89" si="20">LEFT(E85,3)</f>
        <v>215</v>
      </c>
      <c r="G85" s="1" t="str">
        <f t="shared" ref="G85:G89" si="21">MID(E85,5,2)</f>
        <v>60</v>
      </c>
      <c r="H85" s="1" t="str">
        <f t="shared" ref="H85:H89" si="22">MID(E85,8,2)</f>
        <v>17</v>
      </c>
      <c r="I85" s="1" t="s">
        <v>31</v>
      </c>
      <c r="J85" s="1" t="s">
        <v>50</v>
      </c>
      <c r="K85" s="1" t="s">
        <v>51</v>
      </c>
      <c r="L85" s="1" t="s">
        <v>42</v>
      </c>
      <c r="M85" s="2">
        <v>6.5</v>
      </c>
      <c r="N85" s="5">
        <f t="shared" ref="N85:N105" si="23">710*9.81</f>
        <v>6965.1</v>
      </c>
      <c r="O85" s="1">
        <v>250</v>
      </c>
      <c r="P85" s="1">
        <v>80</v>
      </c>
      <c r="Q85" s="1">
        <v>2</v>
      </c>
      <c r="R85" s="3">
        <v>0.86606546694135367</v>
      </c>
      <c r="S85" s="4">
        <v>7.6476372280224802E-2</v>
      </c>
      <c r="T85" s="3">
        <v>0.46019988787901689</v>
      </c>
      <c r="U85" s="9">
        <v>46055</v>
      </c>
    </row>
    <row r="86" spans="1:21" s="1" customFormat="1" ht="12.75">
      <c r="A86" s="1">
        <v>85</v>
      </c>
      <c r="B86" s="1" t="s">
        <v>21</v>
      </c>
      <c r="C86" s="1" t="s">
        <v>37</v>
      </c>
      <c r="D86" s="1" t="s">
        <v>38</v>
      </c>
      <c r="E86" s="1" t="s">
        <v>49</v>
      </c>
      <c r="F86" s="1" t="str">
        <f t="shared" si="20"/>
        <v>215</v>
      </c>
      <c r="G86" s="1" t="str">
        <f t="shared" si="21"/>
        <v>60</v>
      </c>
      <c r="H86" s="1" t="str">
        <f t="shared" si="22"/>
        <v>17</v>
      </c>
      <c r="I86" s="1" t="s">
        <v>31</v>
      </c>
      <c r="J86" s="1" t="s">
        <v>50</v>
      </c>
      <c r="K86" s="1" t="s">
        <v>51</v>
      </c>
      <c r="L86" s="1" t="s">
        <v>42</v>
      </c>
      <c r="M86" s="2">
        <v>6.5</v>
      </c>
      <c r="N86" s="5">
        <f t="shared" si="23"/>
        <v>6965.1</v>
      </c>
      <c r="O86" s="1">
        <v>250</v>
      </c>
      <c r="P86" s="1">
        <v>80</v>
      </c>
      <c r="Q86" s="1">
        <v>3</v>
      </c>
      <c r="R86" s="3">
        <v>0.86465395146582402</v>
      </c>
      <c r="S86" s="4">
        <v>8.8064547195024573E-2</v>
      </c>
      <c r="T86" s="3">
        <v>0.45053614903911737</v>
      </c>
      <c r="U86" s="9">
        <v>46055</v>
      </c>
    </row>
    <row r="87" spans="1:21" s="1" customFormat="1" ht="12.75">
      <c r="A87" s="1">
        <v>86</v>
      </c>
      <c r="B87" s="1" t="s">
        <v>21</v>
      </c>
      <c r="C87" s="1" t="s">
        <v>37</v>
      </c>
      <c r="D87" s="1" t="s">
        <v>38</v>
      </c>
      <c r="E87" s="1" t="s">
        <v>49</v>
      </c>
      <c r="F87" s="1" t="str">
        <f t="shared" si="20"/>
        <v>215</v>
      </c>
      <c r="G87" s="1" t="str">
        <f t="shared" si="21"/>
        <v>60</v>
      </c>
      <c r="H87" s="1" t="str">
        <f t="shared" si="22"/>
        <v>17</v>
      </c>
      <c r="I87" s="1" t="s">
        <v>31</v>
      </c>
      <c r="J87" s="1" t="s">
        <v>50</v>
      </c>
      <c r="K87" s="1" t="s">
        <v>51</v>
      </c>
      <c r="L87" s="1" t="s">
        <v>42</v>
      </c>
      <c r="M87" s="2">
        <v>6.5</v>
      </c>
      <c r="N87" s="5">
        <f t="shared" si="23"/>
        <v>6965.1</v>
      </c>
      <c r="O87" s="1">
        <v>250</v>
      </c>
      <c r="P87" s="1">
        <v>80</v>
      </c>
      <c r="Q87" s="1">
        <v>4</v>
      </c>
      <c r="R87" s="3">
        <v>0.77178338104899635</v>
      </c>
      <c r="S87" s="4">
        <v>0.1053720624202874</v>
      </c>
      <c r="T87" s="3">
        <v>0.47272306998214741</v>
      </c>
      <c r="U87" s="9">
        <v>46055</v>
      </c>
    </row>
    <row r="88" spans="1:21" s="1" customFormat="1" ht="12.75">
      <c r="A88" s="1">
        <v>87</v>
      </c>
      <c r="B88" s="1" t="s">
        <v>21</v>
      </c>
      <c r="C88" s="1" t="s">
        <v>37</v>
      </c>
      <c r="D88" s="1" t="s">
        <v>38</v>
      </c>
      <c r="E88" s="1" t="s">
        <v>49</v>
      </c>
      <c r="F88" s="1" t="str">
        <f t="shared" si="20"/>
        <v>215</v>
      </c>
      <c r="G88" s="1" t="str">
        <f t="shared" si="21"/>
        <v>60</v>
      </c>
      <c r="H88" s="1" t="str">
        <f t="shared" si="22"/>
        <v>17</v>
      </c>
      <c r="I88" s="1" t="s">
        <v>31</v>
      </c>
      <c r="J88" s="1" t="s">
        <v>50</v>
      </c>
      <c r="K88" s="1" t="s">
        <v>51</v>
      </c>
      <c r="L88" s="1" t="s">
        <v>42</v>
      </c>
      <c r="M88" s="2">
        <v>6.5</v>
      </c>
      <c r="N88" s="5">
        <f t="shared" si="23"/>
        <v>6965.1</v>
      </c>
      <c r="O88" s="1">
        <v>250</v>
      </c>
      <c r="P88" s="1">
        <v>80</v>
      </c>
      <c r="Q88" s="1">
        <v>5</v>
      </c>
      <c r="R88" s="3">
        <v>0.77469428582096123</v>
      </c>
      <c r="S88" s="4">
        <v>9.6824743951807582E-2</v>
      </c>
      <c r="T88" s="3">
        <v>0.43111148069176669</v>
      </c>
      <c r="U88" s="9">
        <v>46055</v>
      </c>
    </row>
    <row r="89" spans="1:21" s="1" customFormat="1" ht="12.75">
      <c r="A89" s="1">
        <v>88</v>
      </c>
      <c r="B89" s="1" t="s">
        <v>21</v>
      </c>
      <c r="C89" s="1" t="s">
        <v>37</v>
      </c>
      <c r="D89" s="1" t="s">
        <v>38</v>
      </c>
      <c r="E89" s="1" t="s">
        <v>49</v>
      </c>
      <c r="F89" s="1" t="str">
        <f t="shared" si="20"/>
        <v>215</v>
      </c>
      <c r="G89" s="1" t="str">
        <f t="shared" si="21"/>
        <v>60</v>
      </c>
      <c r="H89" s="1" t="str">
        <f t="shared" si="22"/>
        <v>17</v>
      </c>
      <c r="I89" s="1" t="s">
        <v>31</v>
      </c>
      <c r="J89" s="1" t="s">
        <v>50</v>
      </c>
      <c r="K89" s="1" t="s">
        <v>51</v>
      </c>
      <c r="L89" s="1" t="s">
        <v>42</v>
      </c>
      <c r="M89" s="2">
        <v>6.5</v>
      </c>
      <c r="N89" s="5">
        <f t="shared" si="23"/>
        <v>6965.1</v>
      </c>
      <c r="O89" s="1">
        <v>250</v>
      </c>
      <c r="P89" s="1">
        <v>80</v>
      </c>
      <c r="Q89" s="1">
        <v>6</v>
      </c>
      <c r="R89" s="3">
        <v>0.79378932076063513</v>
      </c>
      <c r="S89" s="4">
        <v>8.4888595364404393E-2</v>
      </c>
      <c r="T89" s="3">
        <v>0.45428211170791438</v>
      </c>
      <c r="U89" s="9">
        <v>46055</v>
      </c>
    </row>
    <row r="90" spans="1:21" s="1" customFormat="1" ht="12.75">
      <c r="A90" s="1">
        <v>89</v>
      </c>
      <c r="B90" s="1" t="s">
        <v>29</v>
      </c>
      <c r="C90" s="1" t="s">
        <v>37</v>
      </c>
      <c r="D90" s="1" t="s">
        <v>38</v>
      </c>
      <c r="E90" s="1" t="s">
        <v>49</v>
      </c>
      <c r="F90" s="1" t="str">
        <f t="shared" ref="F90:F99" si="24">LEFT(E90,3)</f>
        <v>215</v>
      </c>
      <c r="G90" s="1" t="str">
        <f t="shared" ref="G90:G99" si="25">MID(E90,5,2)</f>
        <v>60</v>
      </c>
      <c r="H90" s="1" t="str">
        <f t="shared" ref="H90:H99" si="26">MID(E90,8,2)</f>
        <v>17</v>
      </c>
      <c r="I90" s="1" t="s">
        <v>31</v>
      </c>
      <c r="J90" s="1" t="s">
        <v>50</v>
      </c>
      <c r="K90" s="1" t="s">
        <v>51</v>
      </c>
      <c r="L90" s="1" t="s">
        <v>42</v>
      </c>
      <c r="M90" s="2">
        <v>6.5</v>
      </c>
      <c r="N90" s="5">
        <f t="shared" si="23"/>
        <v>6965.1</v>
      </c>
      <c r="O90" s="1">
        <v>250</v>
      </c>
      <c r="P90" s="1">
        <v>80</v>
      </c>
      <c r="Q90" s="1">
        <v>1</v>
      </c>
      <c r="R90" s="3">
        <v>0.89594205986587439</v>
      </c>
      <c r="S90" s="4">
        <v>0.18296582767822681</v>
      </c>
      <c r="T90" s="3">
        <v>0.6163252573685416</v>
      </c>
      <c r="U90" s="9">
        <v>46055</v>
      </c>
    </row>
    <row r="91" spans="1:21" s="1" customFormat="1" ht="12.75">
      <c r="A91" s="1">
        <v>90</v>
      </c>
      <c r="B91" s="1" t="s">
        <v>29</v>
      </c>
      <c r="C91" s="1" t="s">
        <v>37</v>
      </c>
      <c r="D91" s="1" t="s">
        <v>38</v>
      </c>
      <c r="E91" s="1" t="s">
        <v>49</v>
      </c>
      <c r="F91" s="1" t="str">
        <f t="shared" si="24"/>
        <v>215</v>
      </c>
      <c r="G91" s="1" t="str">
        <f t="shared" si="25"/>
        <v>60</v>
      </c>
      <c r="H91" s="1" t="str">
        <f t="shared" si="26"/>
        <v>17</v>
      </c>
      <c r="I91" s="1" t="s">
        <v>31</v>
      </c>
      <c r="J91" s="1" t="s">
        <v>50</v>
      </c>
      <c r="K91" s="1" t="s">
        <v>51</v>
      </c>
      <c r="L91" s="1" t="s">
        <v>42</v>
      </c>
      <c r="M91" s="2">
        <v>6.5</v>
      </c>
      <c r="N91" s="5">
        <f t="shared" si="23"/>
        <v>6965.1</v>
      </c>
      <c r="O91" s="1">
        <v>250</v>
      </c>
      <c r="P91" s="1">
        <v>80</v>
      </c>
      <c r="Q91" s="1">
        <v>2</v>
      </c>
      <c r="R91" s="3">
        <v>0.89375938079951678</v>
      </c>
      <c r="S91" s="4">
        <v>0.16569809366695901</v>
      </c>
      <c r="T91" s="3">
        <v>0.59461166572307589</v>
      </c>
      <c r="U91" s="9">
        <v>46055</v>
      </c>
    </row>
    <row r="92" spans="1:21" s="1" customFormat="1" ht="12.75">
      <c r="A92" s="1">
        <v>91</v>
      </c>
      <c r="B92" s="1" t="s">
        <v>29</v>
      </c>
      <c r="C92" s="1" t="s">
        <v>37</v>
      </c>
      <c r="D92" s="1" t="s">
        <v>38</v>
      </c>
      <c r="E92" s="1" t="s">
        <v>49</v>
      </c>
      <c r="F92" s="1" t="str">
        <f t="shared" si="24"/>
        <v>215</v>
      </c>
      <c r="G92" s="1" t="str">
        <f t="shared" si="25"/>
        <v>60</v>
      </c>
      <c r="H92" s="1" t="str">
        <f t="shared" si="26"/>
        <v>17</v>
      </c>
      <c r="I92" s="1" t="s">
        <v>31</v>
      </c>
      <c r="J92" s="1" t="s">
        <v>50</v>
      </c>
      <c r="K92" s="1" t="s">
        <v>51</v>
      </c>
      <c r="L92" s="1" t="s">
        <v>42</v>
      </c>
      <c r="M92" s="2">
        <v>6.5</v>
      </c>
      <c r="N92" s="5">
        <f t="shared" si="23"/>
        <v>6965.1</v>
      </c>
      <c r="O92" s="1">
        <v>250</v>
      </c>
      <c r="P92" s="1">
        <v>80</v>
      </c>
      <c r="Q92" s="1">
        <v>3</v>
      </c>
      <c r="R92" s="3">
        <v>0.94455090865642222</v>
      </c>
      <c r="S92" s="4">
        <v>0.2114677135211385</v>
      </c>
      <c r="T92" s="3">
        <v>0.56762592292383074</v>
      </c>
      <c r="U92" s="9">
        <v>46055</v>
      </c>
    </row>
    <row r="93" spans="1:21" s="1" customFormat="1" ht="12.75">
      <c r="A93" s="1">
        <v>92</v>
      </c>
      <c r="B93" s="1" t="s">
        <v>29</v>
      </c>
      <c r="C93" s="1" t="s">
        <v>37</v>
      </c>
      <c r="D93" s="1" t="s">
        <v>38</v>
      </c>
      <c r="E93" s="1" t="s">
        <v>49</v>
      </c>
      <c r="F93" s="1" t="str">
        <f t="shared" si="24"/>
        <v>215</v>
      </c>
      <c r="G93" s="1" t="str">
        <f t="shared" si="25"/>
        <v>60</v>
      </c>
      <c r="H93" s="1" t="str">
        <f t="shared" si="26"/>
        <v>17</v>
      </c>
      <c r="I93" s="1" t="s">
        <v>31</v>
      </c>
      <c r="J93" s="1" t="s">
        <v>50</v>
      </c>
      <c r="K93" s="1" t="s">
        <v>51</v>
      </c>
      <c r="L93" s="1" t="s">
        <v>42</v>
      </c>
      <c r="M93" s="2">
        <v>6.5</v>
      </c>
      <c r="N93" s="5">
        <f t="shared" si="23"/>
        <v>6965.1</v>
      </c>
      <c r="O93" s="1">
        <v>250</v>
      </c>
      <c r="P93" s="1">
        <v>80</v>
      </c>
      <c r="Q93" s="1">
        <v>4</v>
      </c>
      <c r="R93" s="3">
        <v>0.9351720995688424</v>
      </c>
      <c r="S93" s="4">
        <v>0.18465809246143999</v>
      </c>
      <c r="T93" s="3">
        <v>0.54448134911513246</v>
      </c>
      <c r="U93" s="9">
        <v>46055</v>
      </c>
    </row>
    <row r="94" spans="1:21" s="1" customFormat="1" ht="12.75">
      <c r="A94" s="1">
        <v>93</v>
      </c>
      <c r="B94" s="1" t="s">
        <v>29</v>
      </c>
      <c r="C94" s="1" t="s">
        <v>37</v>
      </c>
      <c r="D94" s="1" t="s">
        <v>38</v>
      </c>
      <c r="E94" s="1" t="s">
        <v>49</v>
      </c>
      <c r="F94" s="1" t="str">
        <f t="shared" si="24"/>
        <v>215</v>
      </c>
      <c r="G94" s="1" t="str">
        <f t="shared" si="25"/>
        <v>60</v>
      </c>
      <c r="H94" s="1" t="str">
        <f t="shared" si="26"/>
        <v>17</v>
      </c>
      <c r="I94" s="1" t="s">
        <v>31</v>
      </c>
      <c r="J94" s="1" t="s">
        <v>50</v>
      </c>
      <c r="K94" s="1" t="s">
        <v>51</v>
      </c>
      <c r="L94" s="1" t="s">
        <v>42</v>
      </c>
      <c r="M94" s="2">
        <v>6.5</v>
      </c>
      <c r="N94" s="5">
        <f t="shared" si="23"/>
        <v>6965.1</v>
      </c>
      <c r="O94" s="1">
        <v>250</v>
      </c>
      <c r="P94" s="1">
        <v>80</v>
      </c>
      <c r="Q94" s="1">
        <v>5</v>
      </c>
      <c r="R94" s="3">
        <v>0.94103892138980927</v>
      </c>
      <c r="S94" s="4">
        <v>0.21280469699737009</v>
      </c>
      <c r="T94" s="3">
        <v>0.54648213117179534</v>
      </c>
      <c r="U94" s="9">
        <v>46055</v>
      </c>
    </row>
    <row r="95" spans="1:21" s="1" customFormat="1" ht="12.75">
      <c r="A95" s="1">
        <v>94</v>
      </c>
      <c r="B95" s="1" t="s">
        <v>29</v>
      </c>
      <c r="C95" s="1" t="s">
        <v>37</v>
      </c>
      <c r="D95" s="1" t="s">
        <v>38</v>
      </c>
      <c r="E95" s="1" t="s">
        <v>49</v>
      </c>
      <c r="F95" s="1" t="str">
        <f t="shared" si="24"/>
        <v>215</v>
      </c>
      <c r="G95" s="1" t="str">
        <f t="shared" si="25"/>
        <v>60</v>
      </c>
      <c r="H95" s="1" t="str">
        <f t="shared" si="26"/>
        <v>17</v>
      </c>
      <c r="I95" s="1" t="s">
        <v>31</v>
      </c>
      <c r="J95" s="1" t="s">
        <v>50</v>
      </c>
      <c r="K95" s="1" t="s">
        <v>51</v>
      </c>
      <c r="L95" s="1" t="s">
        <v>42</v>
      </c>
      <c r="M95" s="2">
        <v>6.5</v>
      </c>
      <c r="N95" s="5">
        <f t="shared" si="23"/>
        <v>6965.1</v>
      </c>
      <c r="O95" s="1">
        <v>250</v>
      </c>
      <c r="P95" s="1">
        <v>80</v>
      </c>
      <c r="Q95" s="1">
        <v>6</v>
      </c>
      <c r="R95" s="3">
        <v>0.92261171680877363</v>
      </c>
      <c r="S95" s="4">
        <v>0.2083267121241312</v>
      </c>
      <c r="T95" s="3">
        <v>0.57913553624292391</v>
      </c>
      <c r="U95" s="9">
        <v>46055</v>
      </c>
    </row>
    <row r="96" spans="1:21" s="1" customFormat="1" ht="12.75">
      <c r="A96" s="1">
        <v>95</v>
      </c>
      <c r="B96" s="1" t="s">
        <v>21</v>
      </c>
      <c r="C96" s="1" t="s">
        <v>37</v>
      </c>
      <c r="D96" s="1" t="s">
        <v>38</v>
      </c>
      <c r="E96" s="1" t="s">
        <v>49</v>
      </c>
      <c r="F96" s="1" t="str">
        <f t="shared" si="24"/>
        <v>215</v>
      </c>
      <c r="G96" s="1" t="str">
        <f t="shared" si="25"/>
        <v>60</v>
      </c>
      <c r="H96" s="1" t="str">
        <f t="shared" si="26"/>
        <v>17</v>
      </c>
      <c r="I96" s="1" t="s">
        <v>31</v>
      </c>
      <c r="J96" s="1" t="s">
        <v>50</v>
      </c>
      <c r="K96" s="1" t="s">
        <v>52</v>
      </c>
      <c r="L96" s="1" t="s">
        <v>44</v>
      </c>
      <c r="M96" s="2">
        <v>6.5</v>
      </c>
      <c r="N96" s="5">
        <f t="shared" si="23"/>
        <v>6965.1</v>
      </c>
      <c r="O96" s="1">
        <v>250</v>
      </c>
      <c r="P96" s="1">
        <v>80</v>
      </c>
      <c r="Q96" s="1">
        <v>1</v>
      </c>
      <c r="R96" s="3">
        <v>0.77450652974529588</v>
      </c>
      <c r="S96" s="4">
        <v>9.0547726011715152E-2</v>
      </c>
      <c r="T96" s="3">
        <v>0.43765407737221779</v>
      </c>
      <c r="U96" s="9">
        <v>46055</v>
      </c>
    </row>
    <row r="97" spans="1:21" s="1" customFormat="1" ht="12.75">
      <c r="A97" s="1">
        <v>96</v>
      </c>
      <c r="B97" s="1" t="s">
        <v>21</v>
      </c>
      <c r="C97" s="1" t="s">
        <v>37</v>
      </c>
      <c r="D97" s="1" t="s">
        <v>38</v>
      </c>
      <c r="E97" s="1" t="s">
        <v>49</v>
      </c>
      <c r="F97" s="1" t="str">
        <f t="shared" si="24"/>
        <v>215</v>
      </c>
      <c r="G97" s="1" t="str">
        <f t="shared" si="25"/>
        <v>60</v>
      </c>
      <c r="H97" s="1" t="str">
        <f t="shared" si="26"/>
        <v>17</v>
      </c>
      <c r="I97" s="1" t="s">
        <v>31</v>
      </c>
      <c r="J97" s="1" t="s">
        <v>50</v>
      </c>
      <c r="K97" s="1" t="s">
        <v>52</v>
      </c>
      <c r="L97" s="1" t="s">
        <v>44</v>
      </c>
      <c r="M97" s="2">
        <v>6.5</v>
      </c>
      <c r="N97" s="5">
        <f t="shared" si="23"/>
        <v>6965.1</v>
      </c>
      <c r="O97" s="1">
        <v>250</v>
      </c>
      <c r="P97" s="1">
        <v>80</v>
      </c>
      <c r="Q97" s="1">
        <v>2</v>
      </c>
      <c r="R97" s="3">
        <v>0.71710260185146313</v>
      </c>
      <c r="S97" s="4">
        <v>0.10538640231160221</v>
      </c>
      <c r="T97" s="3">
        <v>0.41228542072549901</v>
      </c>
      <c r="U97" s="9">
        <v>46055</v>
      </c>
    </row>
    <row r="98" spans="1:21" s="1" customFormat="1" ht="12.75">
      <c r="A98" s="1">
        <v>97</v>
      </c>
      <c r="B98" s="1" t="s">
        <v>21</v>
      </c>
      <c r="C98" s="1" t="s">
        <v>37</v>
      </c>
      <c r="D98" s="1" t="s">
        <v>38</v>
      </c>
      <c r="E98" s="1" t="s">
        <v>49</v>
      </c>
      <c r="F98" s="1" t="str">
        <f t="shared" si="24"/>
        <v>215</v>
      </c>
      <c r="G98" s="1" t="str">
        <f t="shared" si="25"/>
        <v>60</v>
      </c>
      <c r="H98" s="1" t="str">
        <f t="shared" si="26"/>
        <v>17</v>
      </c>
      <c r="I98" s="1" t="s">
        <v>31</v>
      </c>
      <c r="J98" s="1" t="s">
        <v>50</v>
      </c>
      <c r="K98" s="1" t="s">
        <v>52</v>
      </c>
      <c r="L98" s="1" t="s">
        <v>44</v>
      </c>
      <c r="M98" s="2">
        <v>6.5</v>
      </c>
      <c r="N98" s="5">
        <f t="shared" si="23"/>
        <v>6965.1</v>
      </c>
      <c r="O98" s="1">
        <v>250</v>
      </c>
      <c r="P98" s="1">
        <v>80</v>
      </c>
      <c r="Q98" s="1">
        <v>3</v>
      </c>
      <c r="R98" s="3">
        <v>0.78983097023872173</v>
      </c>
      <c r="S98" s="4">
        <v>0.1156284975203388</v>
      </c>
      <c r="T98" s="3">
        <v>0.36687805314370669</v>
      </c>
      <c r="U98" s="9">
        <v>46055</v>
      </c>
    </row>
    <row r="99" spans="1:21" s="1" customFormat="1" ht="12.75">
      <c r="A99" s="1">
        <v>98</v>
      </c>
      <c r="B99" s="1" t="s">
        <v>21</v>
      </c>
      <c r="C99" s="1" t="s">
        <v>37</v>
      </c>
      <c r="D99" s="1" t="s">
        <v>38</v>
      </c>
      <c r="E99" s="1" t="s">
        <v>49</v>
      </c>
      <c r="F99" s="1" t="str">
        <f t="shared" si="24"/>
        <v>215</v>
      </c>
      <c r="G99" s="1" t="str">
        <f t="shared" si="25"/>
        <v>60</v>
      </c>
      <c r="H99" s="1" t="str">
        <f t="shared" si="26"/>
        <v>17</v>
      </c>
      <c r="I99" s="1" t="s">
        <v>31</v>
      </c>
      <c r="J99" s="1" t="s">
        <v>50</v>
      </c>
      <c r="K99" s="1" t="s">
        <v>52</v>
      </c>
      <c r="L99" s="1" t="s">
        <v>44</v>
      </c>
      <c r="M99" s="2">
        <v>6.5</v>
      </c>
      <c r="N99" s="5">
        <f t="shared" si="23"/>
        <v>6965.1</v>
      </c>
      <c r="O99" s="1">
        <v>250</v>
      </c>
      <c r="P99" s="1">
        <v>80</v>
      </c>
      <c r="Q99" s="1">
        <v>4</v>
      </c>
      <c r="R99" s="3">
        <v>0.746618353022096</v>
      </c>
      <c r="S99" s="4">
        <v>7.7050478251370347E-2</v>
      </c>
      <c r="T99" s="3">
        <v>0.41427691179950082</v>
      </c>
      <c r="U99" s="9">
        <v>46055</v>
      </c>
    </row>
    <row r="100" spans="1:21" s="1" customFormat="1" ht="12.75">
      <c r="A100" s="1">
        <v>99</v>
      </c>
      <c r="B100" s="1" t="s">
        <v>29</v>
      </c>
      <c r="C100" s="1" t="s">
        <v>37</v>
      </c>
      <c r="D100" s="1" t="s">
        <v>38</v>
      </c>
      <c r="E100" s="1" t="s">
        <v>49</v>
      </c>
      <c r="F100" s="1" t="str">
        <f t="shared" ref="F100:F105" si="27">LEFT(E100,3)</f>
        <v>215</v>
      </c>
      <c r="G100" s="1" t="str">
        <f t="shared" ref="G100:G105" si="28">MID(E100,5,2)</f>
        <v>60</v>
      </c>
      <c r="H100" s="1" t="str">
        <f t="shared" ref="H100:H105" si="29">MID(E100,8,2)</f>
        <v>17</v>
      </c>
      <c r="I100" s="1" t="s">
        <v>31</v>
      </c>
      <c r="J100" s="1" t="s">
        <v>50</v>
      </c>
      <c r="K100" s="1" t="s">
        <v>52</v>
      </c>
      <c r="L100" s="1" t="s">
        <v>44</v>
      </c>
      <c r="M100" s="2">
        <v>6.5</v>
      </c>
      <c r="N100" s="5">
        <f t="shared" si="23"/>
        <v>6965.1</v>
      </c>
      <c r="O100" s="1">
        <v>250</v>
      </c>
      <c r="P100" s="1">
        <v>80</v>
      </c>
      <c r="Q100" s="1">
        <v>1</v>
      </c>
      <c r="R100" s="3">
        <v>0.94902169082679033</v>
      </c>
      <c r="S100" s="4">
        <v>8.1740044394694428E-2</v>
      </c>
      <c r="T100" s="3">
        <v>0.57896392107000683</v>
      </c>
      <c r="U100" s="9">
        <v>46055</v>
      </c>
    </row>
    <row r="101" spans="1:21" s="1" customFormat="1" ht="12.75">
      <c r="A101" s="1">
        <v>100</v>
      </c>
      <c r="B101" s="1" t="s">
        <v>29</v>
      </c>
      <c r="C101" s="1" t="s">
        <v>37</v>
      </c>
      <c r="D101" s="1" t="s">
        <v>38</v>
      </c>
      <c r="E101" s="1" t="s">
        <v>49</v>
      </c>
      <c r="F101" s="1" t="str">
        <f t="shared" si="27"/>
        <v>215</v>
      </c>
      <c r="G101" s="1" t="str">
        <f t="shared" si="28"/>
        <v>60</v>
      </c>
      <c r="H101" s="1" t="str">
        <f t="shared" si="29"/>
        <v>17</v>
      </c>
      <c r="I101" s="1" t="s">
        <v>31</v>
      </c>
      <c r="J101" s="1" t="s">
        <v>50</v>
      </c>
      <c r="K101" s="1" t="s">
        <v>52</v>
      </c>
      <c r="L101" s="1" t="s">
        <v>44</v>
      </c>
      <c r="M101" s="2">
        <v>6.5</v>
      </c>
      <c r="N101" s="5">
        <f t="shared" si="23"/>
        <v>6965.1</v>
      </c>
      <c r="O101" s="1">
        <v>250</v>
      </c>
      <c r="P101" s="1">
        <v>80</v>
      </c>
      <c r="Q101" s="1">
        <v>2</v>
      </c>
      <c r="R101" s="3">
        <v>0.94919738236641127</v>
      </c>
      <c r="S101" s="4">
        <v>0.1182194363651415</v>
      </c>
      <c r="T101" s="3">
        <v>0.56780381902206112</v>
      </c>
      <c r="U101" s="9">
        <v>46055</v>
      </c>
    </row>
    <row r="102" spans="1:21">
      <c r="A102" s="1">
        <v>101</v>
      </c>
      <c r="B102" s="1" t="s">
        <v>29</v>
      </c>
      <c r="C102" s="1" t="s">
        <v>37</v>
      </c>
      <c r="D102" s="1" t="s">
        <v>38</v>
      </c>
      <c r="E102" s="1" t="s">
        <v>49</v>
      </c>
      <c r="F102" s="1" t="str">
        <f t="shared" si="27"/>
        <v>215</v>
      </c>
      <c r="G102" s="1" t="str">
        <f t="shared" si="28"/>
        <v>60</v>
      </c>
      <c r="H102" s="1" t="str">
        <f t="shared" si="29"/>
        <v>17</v>
      </c>
      <c r="I102" s="1" t="s">
        <v>31</v>
      </c>
      <c r="J102" s="1" t="s">
        <v>50</v>
      </c>
      <c r="K102" s="1" t="s">
        <v>52</v>
      </c>
      <c r="L102" s="1" t="s">
        <v>44</v>
      </c>
      <c r="M102" s="2">
        <v>6.5</v>
      </c>
      <c r="N102" s="5">
        <f t="shared" si="23"/>
        <v>6965.1</v>
      </c>
      <c r="O102" s="1">
        <v>250</v>
      </c>
      <c r="P102" s="1">
        <v>80</v>
      </c>
      <c r="Q102" s="1">
        <v>3</v>
      </c>
      <c r="R102" s="3">
        <v>0.96312988728420168</v>
      </c>
      <c r="S102" s="4">
        <v>0.1430198201319903</v>
      </c>
      <c r="T102" s="3">
        <v>0.59786119584429576</v>
      </c>
      <c r="U102" s="9">
        <v>46055</v>
      </c>
    </row>
    <row r="103" spans="1:21">
      <c r="A103" s="1">
        <v>102</v>
      </c>
      <c r="B103" s="1" t="s">
        <v>29</v>
      </c>
      <c r="C103" s="1" t="s">
        <v>37</v>
      </c>
      <c r="D103" s="1" t="s">
        <v>38</v>
      </c>
      <c r="E103" s="1" t="s">
        <v>49</v>
      </c>
      <c r="F103" s="1" t="str">
        <f t="shared" si="27"/>
        <v>215</v>
      </c>
      <c r="G103" s="1" t="str">
        <f t="shared" si="28"/>
        <v>60</v>
      </c>
      <c r="H103" s="1" t="str">
        <f t="shared" si="29"/>
        <v>17</v>
      </c>
      <c r="I103" s="1" t="s">
        <v>31</v>
      </c>
      <c r="J103" s="1" t="s">
        <v>50</v>
      </c>
      <c r="K103" s="1" t="s">
        <v>52</v>
      </c>
      <c r="L103" s="1" t="s">
        <v>44</v>
      </c>
      <c r="M103" s="2">
        <v>6.5</v>
      </c>
      <c r="N103" s="5">
        <f t="shared" si="23"/>
        <v>6965.1</v>
      </c>
      <c r="O103" s="1">
        <v>250</v>
      </c>
      <c r="P103" s="1">
        <v>80</v>
      </c>
      <c r="Q103" s="1">
        <v>4</v>
      </c>
      <c r="R103" s="3">
        <v>0.97650872386625021</v>
      </c>
      <c r="S103" s="4">
        <v>0.1193024943969072</v>
      </c>
      <c r="T103" s="3">
        <v>0.56551762919739301</v>
      </c>
      <c r="U103" s="9">
        <v>46055</v>
      </c>
    </row>
    <row r="104" spans="1:21">
      <c r="A104" s="1">
        <v>103</v>
      </c>
      <c r="B104" s="1" t="s">
        <v>29</v>
      </c>
      <c r="C104" s="1" t="s">
        <v>37</v>
      </c>
      <c r="D104" s="1" t="s">
        <v>38</v>
      </c>
      <c r="E104" s="1" t="s">
        <v>49</v>
      </c>
      <c r="F104" s="1" t="str">
        <f t="shared" si="27"/>
        <v>215</v>
      </c>
      <c r="G104" s="1" t="str">
        <f t="shared" si="28"/>
        <v>60</v>
      </c>
      <c r="H104" s="1" t="str">
        <f t="shared" si="29"/>
        <v>17</v>
      </c>
      <c r="I104" s="1" t="s">
        <v>31</v>
      </c>
      <c r="J104" s="1" t="s">
        <v>50</v>
      </c>
      <c r="K104" s="1" t="s">
        <v>52</v>
      </c>
      <c r="L104" s="1" t="s">
        <v>44</v>
      </c>
      <c r="M104" s="2">
        <v>6.5</v>
      </c>
      <c r="N104" s="5">
        <f t="shared" si="23"/>
        <v>6965.1</v>
      </c>
      <c r="O104" s="1">
        <v>250</v>
      </c>
      <c r="P104" s="1">
        <v>80</v>
      </c>
      <c r="Q104" s="1">
        <v>5</v>
      </c>
      <c r="R104" s="3">
        <v>0.94877864505995824</v>
      </c>
      <c r="S104" s="4">
        <v>0.1201279305030112</v>
      </c>
      <c r="T104" s="3">
        <v>0.59856261541178946</v>
      </c>
      <c r="U104" s="9">
        <v>46055</v>
      </c>
    </row>
    <row r="105" spans="1:21">
      <c r="A105" s="1">
        <v>104</v>
      </c>
      <c r="B105" s="1" t="s">
        <v>29</v>
      </c>
      <c r="C105" s="1" t="s">
        <v>37</v>
      </c>
      <c r="D105" s="1" t="s">
        <v>38</v>
      </c>
      <c r="E105" s="1" t="s">
        <v>49</v>
      </c>
      <c r="F105" s="1" t="str">
        <f t="shared" si="27"/>
        <v>215</v>
      </c>
      <c r="G105" s="1" t="str">
        <f t="shared" si="28"/>
        <v>60</v>
      </c>
      <c r="H105" s="1" t="str">
        <f t="shared" si="29"/>
        <v>17</v>
      </c>
      <c r="I105" s="1" t="s">
        <v>31</v>
      </c>
      <c r="J105" s="1" t="s">
        <v>50</v>
      </c>
      <c r="K105" s="1" t="s">
        <v>52</v>
      </c>
      <c r="L105" s="1" t="s">
        <v>44</v>
      </c>
      <c r="M105" s="2">
        <v>6.5</v>
      </c>
      <c r="N105" s="5">
        <f t="shared" si="23"/>
        <v>6965.1</v>
      </c>
      <c r="O105" s="1">
        <v>250</v>
      </c>
      <c r="P105" s="1">
        <v>80</v>
      </c>
      <c r="Q105" s="1">
        <v>6</v>
      </c>
      <c r="R105" s="3">
        <v>0.98681053005376751</v>
      </c>
      <c r="S105" s="4">
        <v>0.14580960265209769</v>
      </c>
      <c r="T105" s="3">
        <v>0.56843884521186028</v>
      </c>
      <c r="U105" s="9">
        <v>46055</v>
      </c>
    </row>
    <row r="106" spans="1:21">
      <c r="A106" s="1">
        <v>105</v>
      </c>
      <c r="B106" s="1" t="s">
        <v>21</v>
      </c>
      <c r="C106" s="1" t="s">
        <v>22</v>
      </c>
      <c r="D106" s="1" t="s">
        <v>53</v>
      </c>
      <c r="E106" s="1" t="s">
        <v>24</v>
      </c>
      <c r="F106" s="1" t="str">
        <f t="shared" ref="F106" si="30">LEFT(E106,3)</f>
        <v>225</v>
      </c>
      <c r="G106" s="1" t="str">
        <f t="shared" ref="G106" si="31">MID(E106,5,2)</f>
        <v>50</v>
      </c>
      <c r="H106" s="1" t="str">
        <f t="shared" ref="H106" si="32">MID(E106,8,2)</f>
        <v>18</v>
      </c>
      <c r="I106" s="1" t="s">
        <v>25</v>
      </c>
      <c r="J106" s="1" t="s">
        <v>26</v>
      </c>
      <c r="K106" s="1" t="s">
        <v>27</v>
      </c>
      <c r="L106" s="1" t="s">
        <v>28</v>
      </c>
      <c r="M106" s="2">
        <v>7</v>
      </c>
      <c r="N106" s="5">
        <v>6000</v>
      </c>
      <c r="O106" s="1">
        <v>200</v>
      </c>
      <c r="P106" s="1">
        <v>64</v>
      </c>
      <c r="Q106" s="1">
        <v>1</v>
      </c>
      <c r="R106" s="3">
        <v>0.83571833517765237</v>
      </c>
      <c r="S106" s="4">
        <v>0.1044872487001208</v>
      </c>
      <c r="T106" s="3">
        <v>0.60199183059778216</v>
      </c>
      <c r="U106" s="9">
        <v>46035</v>
      </c>
    </row>
    <row r="107" spans="1:21">
      <c r="A107" s="1">
        <v>106</v>
      </c>
      <c r="B107" s="1" t="s">
        <v>21</v>
      </c>
      <c r="C107" s="1" t="s">
        <v>22</v>
      </c>
      <c r="D107" s="1" t="s">
        <v>53</v>
      </c>
      <c r="E107" s="1" t="s">
        <v>24</v>
      </c>
      <c r="F107" s="1" t="str">
        <f t="shared" ref="F107:F110" si="33">LEFT(E107,3)</f>
        <v>225</v>
      </c>
      <c r="G107" s="1" t="str">
        <f t="shared" ref="G107:G110" si="34">MID(E107,5,2)</f>
        <v>50</v>
      </c>
      <c r="H107" s="1" t="str">
        <f t="shared" ref="H107:H110" si="35">MID(E107,8,2)</f>
        <v>18</v>
      </c>
      <c r="I107" s="1" t="s">
        <v>25</v>
      </c>
      <c r="J107" s="1" t="s">
        <v>26</v>
      </c>
      <c r="K107" s="1" t="s">
        <v>27</v>
      </c>
      <c r="L107" s="1" t="s">
        <v>28</v>
      </c>
      <c r="M107" s="2">
        <v>7</v>
      </c>
      <c r="N107" s="5">
        <v>6000</v>
      </c>
      <c r="O107" s="1">
        <v>200</v>
      </c>
      <c r="P107" s="1">
        <v>64</v>
      </c>
      <c r="Q107" s="1">
        <v>2</v>
      </c>
      <c r="R107" s="3">
        <v>0.81665185688695097</v>
      </c>
      <c r="S107" s="4">
        <v>0.14512814548973771</v>
      </c>
      <c r="T107" s="3">
        <v>0.57853651283556751</v>
      </c>
      <c r="U107" s="9">
        <v>46035</v>
      </c>
    </row>
    <row r="108" spans="1:21">
      <c r="A108" s="1">
        <v>107</v>
      </c>
      <c r="B108" s="1" t="s">
        <v>21</v>
      </c>
      <c r="C108" s="1" t="s">
        <v>22</v>
      </c>
      <c r="D108" s="1" t="s">
        <v>53</v>
      </c>
      <c r="E108" s="1" t="s">
        <v>24</v>
      </c>
      <c r="F108" s="1" t="str">
        <f t="shared" si="33"/>
        <v>225</v>
      </c>
      <c r="G108" s="1" t="str">
        <f t="shared" si="34"/>
        <v>50</v>
      </c>
      <c r="H108" s="1" t="str">
        <f t="shared" si="35"/>
        <v>18</v>
      </c>
      <c r="I108" s="1" t="s">
        <v>25</v>
      </c>
      <c r="J108" s="1" t="s">
        <v>26</v>
      </c>
      <c r="K108" s="1" t="s">
        <v>27</v>
      </c>
      <c r="L108" s="1" t="s">
        <v>28</v>
      </c>
      <c r="M108" s="2">
        <v>7</v>
      </c>
      <c r="N108" s="5">
        <v>6000</v>
      </c>
      <c r="O108" s="1">
        <v>200</v>
      </c>
      <c r="P108" s="1">
        <v>64</v>
      </c>
      <c r="Q108" s="1">
        <v>3</v>
      </c>
      <c r="R108" s="3">
        <v>0.80100236975323436</v>
      </c>
      <c r="S108" s="4">
        <v>8.0350848047982842E-2</v>
      </c>
      <c r="T108" s="3">
        <v>0.49808320539545392</v>
      </c>
      <c r="U108" s="9">
        <v>46035</v>
      </c>
    </row>
    <row r="109" spans="1:21">
      <c r="A109" s="1">
        <v>108</v>
      </c>
      <c r="B109" s="1" t="s">
        <v>21</v>
      </c>
      <c r="C109" s="1" t="s">
        <v>22</v>
      </c>
      <c r="D109" s="1" t="s">
        <v>53</v>
      </c>
      <c r="E109" s="1" t="s">
        <v>24</v>
      </c>
      <c r="F109" s="1" t="str">
        <f t="shared" si="33"/>
        <v>225</v>
      </c>
      <c r="G109" s="1" t="str">
        <f t="shared" si="34"/>
        <v>50</v>
      </c>
      <c r="H109" s="1" t="str">
        <f t="shared" si="35"/>
        <v>18</v>
      </c>
      <c r="I109" s="1" t="s">
        <v>25</v>
      </c>
      <c r="J109" s="1" t="s">
        <v>26</v>
      </c>
      <c r="K109" s="1" t="s">
        <v>27</v>
      </c>
      <c r="L109" s="1" t="s">
        <v>28</v>
      </c>
      <c r="M109" s="2">
        <v>7</v>
      </c>
      <c r="N109" s="5">
        <v>6000</v>
      </c>
      <c r="O109" s="1">
        <v>200</v>
      </c>
      <c r="P109" s="1">
        <v>64</v>
      </c>
      <c r="Q109" s="1">
        <v>4</v>
      </c>
      <c r="R109" s="3">
        <v>0.81026786060697786</v>
      </c>
      <c r="S109" s="4">
        <v>0.1475373385404731</v>
      </c>
      <c r="T109" s="3">
        <v>0.50695244802698336</v>
      </c>
      <c r="U109" s="9">
        <v>46035</v>
      </c>
    </row>
    <row r="110" spans="1:21">
      <c r="A110" s="1">
        <v>109</v>
      </c>
      <c r="B110" s="1" t="s">
        <v>21</v>
      </c>
      <c r="C110" s="1" t="s">
        <v>22</v>
      </c>
      <c r="D110" s="1" t="s">
        <v>53</v>
      </c>
      <c r="E110" s="1" t="s">
        <v>24</v>
      </c>
      <c r="F110" s="1" t="str">
        <f t="shared" si="33"/>
        <v>225</v>
      </c>
      <c r="G110" s="1" t="str">
        <f t="shared" si="34"/>
        <v>50</v>
      </c>
      <c r="H110" s="1" t="str">
        <f t="shared" si="35"/>
        <v>18</v>
      </c>
      <c r="I110" s="1" t="s">
        <v>25</v>
      </c>
      <c r="J110" s="1" t="s">
        <v>26</v>
      </c>
      <c r="K110" s="1" t="s">
        <v>27</v>
      </c>
      <c r="L110" s="1" t="s">
        <v>28</v>
      </c>
      <c r="M110" s="2">
        <v>7</v>
      </c>
      <c r="N110" s="5">
        <v>6000</v>
      </c>
      <c r="O110" s="1">
        <v>200</v>
      </c>
      <c r="P110" s="1">
        <v>64</v>
      </c>
      <c r="Q110" s="1">
        <v>5</v>
      </c>
      <c r="R110" s="3">
        <v>0.84538444580981731</v>
      </c>
      <c r="S110" s="4">
        <v>0.13562675328168031</v>
      </c>
      <c r="T110" s="3">
        <v>0.51514046356383947</v>
      </c>
      <c r="U110" s="9">
        <v>46035</v>
      </c>
    </row>
    <row r="111" spans="1:21">
      <c r="A111" s="1">
        <v>110</v>
      </c>
      <c r="B111" s="1" t="s">
        <v>29</v>
      </c>
      <c r="C111" s="1" t="s">
        <v>22</v>
      </c>
      <c r="D111" s="1" t="s">
        <v>53</v>
      </c>
      <c r="E111" s="1" t="s">
        <v>24</v>
      </c>
      <c r="F111" s="1" t="str">
        <f t="shared" ref="F111:F117" si="36">LEFT(E111,3)</f>
        <v>225</v>
      </c>
      <c r="G111" s="1" t="str">
        <f t="shared" ref="G111:G117" si="37">MID(E111,5,2)</f>
        <v>50</v>
      </c>
      <c r="H111" s="1" t="str">
        <f t="shared" ref="H111:H117" si="38">MID(E111,8,2)</f>
        <v>18</v>
      </c>
      <c r="I111" s="1" t="s">
        <v>25</v>
      </c>
      <c r="J111" s="1" t="s">
        <v>26</v>
      </c>
      <c r="K111" s="1" t="s">
        <v>27</v>
      </c>
      <c r="L111" s="1" t="s">
        <v>28</v>
      </c>
      <c r="M111" s="2">
        <v>7</v>
      </c>
      <c r="N111" s="5">
        <v>6000</v>
      </c>
      <c r="O111" s="1">
        <v>200</v>
      </c>
      <c r="P111" s="1">
        <v>64</v>
      </c>
      <c r="Q111" s="1">
        <v>1</v>
      </c>
      <c r="R111" s="3">
        <v>0.92935867711476594</v>
      </c>
      <c r="S111" s="4">
        <v>0.10124337674520691</v>
      </c>
      <c r="T111" s="3">
        <v>0.75326111553300446</v>
      </c>
      <c r="U111" s="9">
        <v>46035</v>
      </c>
    </row>
    <row r="112" spans="1:21">
      <c r="A112" s="1">
        <v>111</v>
      </c>
      <c r="B112" s="1" t="s">
        <v>29</v>
      </c>
      <c r="C112" s="1" t="s">
        <v>22</v>
      </c>
      <c r="D112" s="1" t="s">
        <v>53</v>
      </c>
      <c r="E112" s="1" t="s">
        <v>24</v>
      </c>
      <c r="F112" s="1" t="str">
        <f t="shared" si="36"/>
        <v>225</v>
      </c>
      <c r="G112" s="1" t="str">
        <f t="shared" si="37"/>
        <v>50</v>
      </c>
      <c r="H112" s="1" t="str">
        <f t="shared" si="38"/>
        <v>18</v>
      </c>
      <c r="I112" s="1" t="s">
        <v>25</v>
      </c>
      <c r="J112" s="1" t="s">
        <v>26</v>
      </c>
      <c r="K112" s="1" t="s">
        <v>27</v>
      </c>
      <c r="L112" s="1" t="s">
        <v>28</v>
      </c>
      <c r="M112" s="2">
        <v>7</v>
      </c>
      <c r="N112" s="5">
        <v>6000</v>
      </c>
      <c r="O112" s="1">
        <v>200</v>
      </c>
      <c r="P112" s="1">
        <v>64</v>
      </c>
      <c r="Q112" s="1">
        <v>2</v>
      </c>
      <c r="R112" s="3">
        <v>0.9221334213768474</v>
      </c>
      <c r="S112" s="4">
        <v>8.4481830861029644E-2</v>
      </c>
      <c r="T112" s="3">
        <v>0.74568846725951166</v>
      </c>
      <c r="U112" s="9">
        <v>46035</v>
      </c>
    </row>
    <row r="113" spans="1:21">
      <c r="A113" s="1">
        <v>112</v>
      </c>
      <c r="B113" s="1" t="s">
        <v>29</v>
      </c>
      <c r="C113" s="1" t="s">
        <v>22</v>
      </c>
      <c r="D113" s="1" t="s">
        <v>53</v>
      </c>
      <c r="E113" s="1" t="s">
        <v>24</v>
      </c>
      <c r="F113" s="1" t="str">
        <f t="shared" si="36"/>
        <v>225</v>
      </c>
      <c r="G113" s="1" t="str">
        <f t="shared" si="37"/>
        <v>50</v>
      </c>
      <c r="H113" s="1" t="str">
        <f t="shared" si="38"/>
        <v>18</v>
      </c>
      <c r="I113" s="1" t="s">
        <v>25</v>
      </c>
      <c r="J113" s="1" t="s">
        <v>26</v>
      </c>
      <c r="K113" s="1" t="s">
        <v>27</v>
      </c>
      <c r="L113" s="1" t="s">
        <v>28</v>
      </c>
      <c r="M113" s="2">
        <v>7</v>
      </c>
      <c r="N113" s="5">
        <v>6000</v>
      </c>
      <c r="O113" s="1">
        <v>200</v>
      </c>
      <c r="P113" s="1">
        <v>64</v>
      </c>
      <c r="Q113" s="1">
        <v>3</v>
      </c>
      <c r="R113" s="3">
        <v>0.9437417512453834</v>
      </c>
      <c r="S113" s="4">
        <v>9.1254310876089595E-2</v>
      </c>
      <c r="T113" s="3">
        <v>0.70938306493499581</v>
      </c>
      <c r="U113" s="9">
        <v>46035</v>
      </c>
    </row>
    <row r="114" spans="1:21">
      <c r="A114" s="1">
        <v>113</v>
      </c>
      <c r="B114" s="1" t="s">
        <v>29</v>
      </c>
      <c r="C114" s="1" t="s">
        <v>22</v>
      </c>
      <c r="D114" s="1" t="s">
        <v>53</v>
      </c>
      <c r="E114" s="1" t="s">
        <v>24</v>
      </c>
      <c r="F114" s="1" t="str">
        <f t="shared" si="36"/>
        <v>225</v>
      </c>
      <c r="G114" s="1" t="str">
        <f t="shared" si="37"/>
        <v>50</v>
      </c>
      <c r="H114" s="1" t="str">
        <f t="shared" si="38"/>
        <v>18</v>
      </c>
      <c r="I114" s="1" t="s">
        <v>25</v>
      </c>
      <c r="J114" s="1" t="s">
        <v>26</v>
      </c>
      <c r="K114" s="1" t="s">
        <v>27</v>
      </c>
      <c r="L114" s="1" t="s">
        <v>28</v>
      </c>
      <c r="M114" s="2">
        <v>7</v>
      </c>
      <c r="N114" s="5">
        <v>6000</v>
      </c>
      <c r="O114" s="1">
        <v>200</v>
      </c>
      <c r="P114" s="1">
        <v>64</v>
      </c>
      <c r="Q114" s="1">
        <v>4</v>
      </c>
      <c r="R114" s="3">
        <v>0.93864841118091502</v>
      </c>
      <c r="S114" s="4">
        <v>0.12015500604492139</v>
      </c>
      <c r="T114" s="3">
        <v>0.72137236880641009</v>
      </c>
      <c r="U114" s="9">
        <v>46035</v>
      </c>
    </row>
    <row r="115" spans="1:21">
      <c r="A115" s="1">
        <v>114</v>
      </c>
      <c r="B115" s="1" t="s">
        <v>29</v>
      </c>
      <c r="C115" s="1" t="s">
        <v>22</v>
      </c>
      <c r="D115" s="1" t="s">
        <v>53</v>
      </c>
      <c r="E115" s="1" t="s">
        <v>24</v>
      </c>
      <c r="F115" s="1" t="str">
        <f t="shared" si="36"/>
        <v>225</v>
      </c>
      <c r="G115" s="1" t="str">
        <f t="shared" si="37"/>
        <v>50</v>
      </c>
      <c r="H115" s="1" t="str">
        <f t="shared" si="38"/>
        <v>18</v>
      </c>
      <c r="I115" s="1" t="s">
        <v>25</v>
      </c>
      <c r="J115" s="1" t="s">
        <v>26</v>
      </c>
      <c r="K115" s="1" t="s">
        <v>27</v>
      </c>
      <c r="L115" s="1" t="s">
        <v>28</v>
      </c>
      <c r="M115" s="2">
        <v>7</v>
      </c>
      <c r="N115" s="5">
        <v>6000</v>
      </c>
      <c r="O115" s="1">
        <v>200</v>
      </c>
      <c r="P115" s="1">
        <v>64</v>
      </c>
      <c r="Q115" s="1">
        <v>5</v>
      </c>
      <c r="R115" s="3">
        <v>0.90390291287862223</v>
      </c>
      <c r="S115" s="4">
        <v>9.8052873258135789E-2</v>
      </c>
      <c r="T115" s="3">
        <v>0.70702092488963131</v>
      </c>
      <c r="U115" s="9">
        <v>46035</v>
      </c>
    </row>
    <row r="116" spans="1:21">
      <c r="A116" s="1">
        <v>115</v>
      </c>
      <c r="B116" s="1" t="s">
        <v>29</v>
      </c>
      <c r="C116" s="1" t="s">
        <v>22</v>
      </c>
      <c r="D116" s="1" t="s">
        <v>53</v>
      </c>
      <c r="E116" s="1" t="s">
        <v>24</v>
      </c>
      <c r="F116" s="1" t="str">
        <f t="shared" si="36"/>
        <v>225</v>
      </c>
      <c r="G116" s="1" t="str">
        <f t="shared" si="37"/>
        <v>50</v>
      </c>
      <c r="H116" s="1" t="str">
        <f t="shared" si="38"/>
        <v>18</v>
      </c>
      <c r="I116" s="1" t="s">
        <v>25</v>
      </c>
      <c r="J116" s="1" t="s">
        <v>26</v>
      </c>
      <c r="K116" s="1" t="s">
        <v>27</v>
      </c>
      <c r="L116" s="1" t="s">
        <v>28</v>
      </c>
      <c r="M116" s="2">
        <v>7</v>
      </c>
      <c r="N116" s="5">
        <v>6000</v>
      </c>
      <c r="O116" s="1">
        <v>200</v>
      </c>
      <c r="P116" s="1">
        <v>64</v>
      </c>
      <c r="Q116" s="1">
        <v>6</v>
      </c>
      <c r="R116" s="3">
        <v>0.96301497276583559</v>
      </c>
      <c r="S116" s="4">
        <v>0.10549206578934971</v>
      </c>
      <c r="T116" s="3">
        <v>0.76247638945966201</v>
      </c>
      <c r="U116" s="9">
        <v>46035</v>
      </c>
    </row>
    <row r="117" spans="1:21">
      <c r="A117" s="1">
        <v>116</v>
      </c>
      <c r="B117" s="1" t="s">
        <v>21</v>
      </c>
      <c r="C117" s="1" t="s">
        <v>22</v>
      </c>
      <c r="D117" s="1" t="s">
        <v>53</v>
      </c>
      <c r="E117" s="1" t="s">
        <v>30</v>
      </c>
      <c r="F117" s="1" t="str">
        <f t="shared" si="36"/>
        <v>225</v>
      </c>
      <c r="G117" s="1" t="str">
        <f t="shared" si="37"/>
        <v>50</v>
      </c>
      <c r="H117" s="1" t="str">
        <f t="shared" si="38"/>
        <v>19</v>
      </c>
      <c r="I117" s="1" t="s">
        <v>31</v>
      </c>
      <c r="J117" s="1" t="s">
        <v>32</v>
      </c>
      <c r="K117" s="1" t="s">
        <v>35</v>
      </c>
      <c r="L117" s="1" t="s">
        <v>54</v>
      </c>
      <c r="M117" s="2">
        <v>7</v>
      </c>
      <c r="N117" s="5">
        <v>6000</v>
      </c>
      <c r="O117" s="1">
        <v>200</v>
      </c>
      <c r="P117" s="1">
        <v>64</v>
      </c>
      <c r="Q117" s="1">
        <v>1</v>
      </c>
      <c r="R117" s="3">
        <v>0.80743208667182886</v>
      </c>
      <c r="S117" s="4">
        <v>0.1083503778364375</v>
      </c>
      <c r="T117" s="3">
        <v>0.56835752181406041</v>
      </c>
      <c r="U117" s="9">
        <v>46035</v>
      </c>
    </row>
    <row r="118" spans="1:21">
      <c r="A118" s="1">
        <v>117</v>
      </c>
      <c r="B118" s="1" t="s">
        <v>21</v>
      </c>
      <c r="C118" s="1" t="s">
        <v>22</v>
      </c>
      <c r="D118" s="1" t="s">
        <v>53</v>
      </c>
      <c r="E118" s="1" t="s">
        <v>30</v>
      </c>
      <c r="F118" s="1" t="str">
        <f t="shared" ref="F118:F122" si="39">LEFT(E118,3)</f>
        <v>225</v>
      </c>
      <c r="G118" s="1" t="str">
        <f t="shared" ref="G118:G122" si="40">MID(E118,5,2)</f>
        <v>50</v>
      </c>
      <c r="H118" s="1" t="str">
        <f t="shared" ref="H118:H122" si="41">MID(E118,8,2)</f>
        <v>19</v>
      </c>
      <c r="I118" s="1" t="s">
        <v>31</v>
      </c>
      <c r="J118" s="1" t="s">
        <v>32</v>
      </c>
      <c r="K118" s="1" t="s">
        <v>35</v>
      </c>
      <c r="L118" s="1" t="s">
        <v>54</v>
      </c>
      <c r="M118" s="2">
        <v>7</v>
      </c>
      <c r="N118" s="5">
        <v>6000</v>
      </c>
      <c r="O118" s="1">
        <v>200</v>
      </c>
      <c r="P118" s="1">
        <v>64</v>
      </c>
      <c r="Q118" s="1">
        <v>2</v>
      </c>
      <c r="R118" s="3">
        <v>0.7983258898661969</v>
      </c>
      <c r="S118" s="4">
        <v>9.6638782751131219E-2</v>
      </c>
      <c r="T118" s="3">
        <v>0.58457381958060173</v>
      </c>
      <c r="U118" s="9">
        <v>46035</v>
      </c>
    </row>
    <row r="119" spans="1:21">
      <c r="A119" s="1">
        <v>118</v>
      </c>
      <c r="B119" s="1" t="s">
        <v>21</v>
      </c>
      <c r="C119" s="1" t="s">
        <v>22</v>
      </c>
      <c r="D119" s="1" t="s">
        <v>53</v>
      </c>
      <c r="E119" s="1" t="s">
        <v>30</v>
      </c>
      <c r="F119" s="1" t="str">
        <f t="shared" si="39"/>
        <v>225</v>
      </c>
      <c r="G119" s="1" t="str">
        <f t="shared" si="40"/>
        <v>50</v>
      </c>
      <c r="H119" s="1" t="str">
        <f t="shared" si="41"/>
        <v>19</v>
      </c>
      <c r="I119" s="1" t="s">
        <v>31</v>
      </c>
      <c r="J119" s="1" t="s">
        <v>32</v>
      </c>
      <c r="K119" s="1" t="s">
        <v>35</v>
      </c>
      <c r="L119" s="1" t="s">
        <v>54</v>
      </c>
      <c r="M119" s="2">
        <v>7</v>
      </c>
      <c r="N119" s="5">
        <v>6000</v>
      </c>
      <c r="O119" s="1">
        <v>200</v>
      </c>
      <c r="P119" s="1">
        <v>64</v>
      </c>
      <c r="Q119" s="1">
        <v>3</v>
      </c>
      <c r="R119" s="3">
        <v>0.77555126427470944</v>
      </c>
      <c r="S119" s="4">
        <v>0.1098460251252278</v>
      </c>
      <c r="T119" s="3">
        <v>0.52672128199666013</v>
      </c>
      <c r="U119" s="9">
        <v>46035</v>
      </c>
    </row>
    <row r="120" spans="1:21">
      <c r="A120" s="1">
        <v>119</v>
      </c>
      <c r="B120" s="1" t="s">
        <v>21</v>
      </c>
      <c r="C120" s="1" t="s">
        <v>22</v>
      </c>
      <c r="D120" s="1" t="s">
        <v>53</v>
      </c>
      <c r="E120" s="1" t="s">
        <v>30</v>
      </c>
      <c r="F120" s="1" t="str">
        <f t="shared" si="39"/>
        <v>225</v>
      </c>
      <c r="G120" s="1" t="str">
        <f t="shared" si="40"/>
        <v>50</v>
      </c>
      <c r="H120" s="1" t="str">
        <f t="shared" si="41"/>
        <v>19</v>
      </c>
      <c r="I120" s="1" t="s">
        <v>31</v>
      </c>
      <c r="J120" s="1" t="s">
        <v>32</v>
      </c>
      <c r="K120" s="1" t="s">
        <v>35</v>
      </c>
      <c r="L120" s="1" t="s">
        <v>54</v>
      </c>
      <c r="M120" s="2">
        <v>7</v>
      </c>
      <c r="N120" s="5">
        <v>6000</v>
      </c>
      <c r="O120" s="1">
        <v>200</v>
      </c>
      <c r="P120" s="1">
        <v>64</v>
      </c>
      <c r="Q120" s="1">
        <v>4</v>
      </c>
      <c r="R120" s="3">
        <v>0.79758145906441591</v>
      </c>
      <c r="S120" s="4">
        <v>0.12637334477622991</v>
      </c>
      <c r="T120" s="3">
        <v>0.57140972145846181</v>
      </c>
      <c r="U120" s="9">
        <v>46035</v>
      </c>
    </row>
    <row r="121" spans="1:21">
      <c r="A121" s="1">
        <v>120</v>
      </c>
      <c r="B121" s="1" t="s">
        <v>21</v>
      </c>
      <c r="C121" s="1" t="s">
        <v>22</v>
      </c>
      <c r="D121" s="1" t="s">
        <v>53</v>
      </c>
      <c r="E121" s="1" t="s">
        <v>30</v>
      </c>
      <c r="F121" s="1" t="str">
        <f t="shared" si="39"/>
        <v>225</v>
      </c>
      <c r="G121" s="1" t="str">
        <f t="shared" si="40"/>
        <v>50</v>
      </c>
      <c r="H121" s="1" t="str">
        <f t="shared" si="41"/>
        <v>19</v>
      </c>
      <c r="I121" s="1" t="s">
        <v>31</v>
      </c>
      <c r="J121" s="1" t="s">
        <v>32</v>
      </c>
      <c r="K121" s="1" t="s">
        <v>35</v>
      </c>
      <c r="L121" s="1" t="s">
        <v>54</v>
      </c>
      <c r="M121" s="2">
        <v>7</v>
      </c>
      <c r="N121" s="5">
        <v>6000</v>
      </c>
      <c r="O121" s="1">
        <v>200</v>
      </c>
      <c r="P121" s="1">
        <v>64</v>
      </c>
      <c r="Q121" s="1">
        <v>5</v>
      </c>
      <c r="R121" s="3">
        <v>0.83604908818844859</v>
      </c>
      <c r="S121" s="4">
        <v>0.14870175447315739</v>
      </c>
      <c r="T121" s="3">
        <v>0.53395534999119731</v>
      </c>
      <c r="U121" s="9">
        <v>46035</v>
      </c>
    </row>
    <row r="122" spans="1:21">
      <c r="A122" s="1">
        <v>121</v>
      </c>
      <c r="B122" s="1" t="s">
        <v>21</v>
      </c>
      <c r="C122" s="1" t="s">
        <v>22</v>
      </c>
      <c r="D122" s="1" t="s">
        <v>53</v>
      </c>
      <c r="E122" s="1" t="s">
        <v>30</v>
      </c>
      <c r="F122" s="1" t="str">
        <f t="shared" si="39"/>
        <v>225</v>
      </c>
      <c r="G122" s="1" t="str">
        <f t="shared" si="40"/>
        <v>50</v>
      </c>
      <c r="H122" s="1" t="str">
        <f t="shared" si="41"/>
        <v>19</v>
      </c>
      <c r="I122" s="1" t="s">
        <v>31</v>
      </c>
      <c r="J122" s="1" t="s">
        <v>32</v>
      </c>
      <c r="K122" s="1" t="s">
        <v>35</v>
      </c>
      <c r="L122" s="1" t="s">
        <v>54</v>
      </c>
      <c r="M122" s="2">
        <v>7</v>
      </c>
      <c r="N122" s="5">
        <v>6000</v>
      </c>
      <c r="O122" s="1">
        <v>200</v>
      </c>
      <c r="P122" s="1">
        <v>64</v>
      </c>
      <c r="Q122" s="1">
        <v>6</v>
      </c>
      <c r="R122" s="3">
        <v>0.77759112554741594</v>
      </c>
      <c r="S122" s="4">
        <v>0.1153661064279438</v>
      </c>
      <c r="T122" s="3">
        <v>0.52621127657169053</v>
      </c>
      <c r="U122" s="9">
        <v>46035</v>
      </c>
    </row>
    <row r="123" spans="1:21">
      <c r="A123" s="1">
        <v>122</v>
      </c>
      <c r="B123" s="1" t="s">
        <v>29</v>
      </c>
      <c r="C123" s="1" t="s">
        <v>22</v>
      </c>
      <c r="D123" s="1" t="s">
        <v>53</v>
      </c>
      <c r="E123" s="1" t="s">
        <v>30</v>
      </c>
      <c r="F123" s="1" t="str">
        <f t="shared" ref="F123:F129" si="42">LEFT(E123,3)</f>
        <v>225</v>
      </c>
      <c r="G123" s="1" t="str">
        <f t="shared" ref="G123:G129" si="43">MID(E123,5,2)</f>
        <v>50</v>
      </c>
      <c r="H123" s="1" t="str">
        <f t="shared" ref="H123:H129" si="44">MID(E123,8,2)</f>
        <v>19</v>
      </c>
      <c r="I123" s="1" t="s">
        <v>31</v>
      </c>
      <c r="J123" s="1" t="s">
        <v>32</v>
      </c>
      <c r="K123" s="1" t="s">
        <v>35</v>
      </c>
      <c r="L123" s="1" t="s">
        <v>54</v>
      </c>
      <c r="M123" s="2">
        <v>7</v>
      </c>
      <c r="N123" s="5">
        <v>6000</v>
      </c>
      <c r="O123" s="1">
        <v>200</v>
      </c>
      <c r="P123" s="1">
        <v>64</v>
      </c>
      <c r="Q123" s="1">
        <v>1</v>
      </c>
      <c r="R123" s="3">
        <v>0.92152828409884191</v>
      </c>
      <c r="S123" s="4">
        <v>0.1189033458816211</v>
      </c>
      <c r="T123" s="3">
        <v>0.78015290390212022</v>
      </c>
      <c r="U123" s="9">
        <v>46035</v>
      </c>
    </row>
    <row r="124" spans="1:21">
      <c r="A124" s="1">
        <v>123</v>
      </c>
      <c r="B124" s="1" t="s">
        <v>29</v>
      </c>
      <c r="C124" s="1" t="s">
        <v>22</v>
      </c>
      <c r="D124" s="1" t="s">
        <v>53</v>
      </c>
      <c r="E124" s="1" t="s">
        <v>30</v>
      </c>
      <c r="F124" s="1" t="str">
        <f t="shared" si="42"/>
        <v>225</v>
      </c>
      <c r="G124" s="1" t="str">
        <f t="shared" si="43"/>
        <v>50</v>
      </c>
      <c r="H124" s="1" t="str">
        <f t="shared" si="44"/>
        <v>19</v>
      </c>
      <c r="I124" s="1" t="s">
        <v>31</v>
      </c>
      <c r="J124" s="1" t="s">
        <v>32</v>
      </c>
      <c r="K124" s="1" t="s">
        <v>35</v>
      </c>
      <c r="L124" s="1" t="s">
        <v>54</v>
      </c>
      <c r="M124" s="2">
        <v>7</v>
      </c>
      <c r="N124" s="5">
        <v>6000</v>
      </c>
      <c r="O124" s="1">
        <v>200</v>
      </c>
      <c r="P124" s="1">
        <v>64</v>
      </c>
      <c r="Q124" s="1">
        <v>2</v>
      </c>
      <c r="R124" s="3">
        <v>0.96479183480883035</v>
      </c>
      <c r="S124" s="4">
        <v>0.13790569541007031</v>
      </c>
      <c r="T124" s="3">
        <v>0.8333036817432985</v>
      </c>
      <c r="U124" s="9">
        <v>46035</v>
      </c>
    </row>
    <row r="125" spans="1:21">
      <c r="A125" s="1">
        <v>124</v>
      </c>
      <c r="B125" s="1" t="s">
        <v>29</v>
      </c>
      <c r="C125" s="1" t="s">
        <v>22</v>
      </c>
      <c r="D125" s="1" t="s">
        <v>53</v>
      </c>
      <c r="E125" s="1" t="s">
        <v>30</v>
      </c>
      <c r="F125" s="1" t="str">
        <f t="shared" si="42"/>
        <v>225</v>
      </c>
      <c r="G125" s="1" t="str">
        <f t="shared" si="43"/>
        <v>50</v>
      </c>
      <c r="H125" s="1" t="str">
        <f t="shared" si="44"/>
        <v>19</v>
      </c>
      <c r="I125" s="1" t="s">
        <v>31</v>
      </c>
      <c r="J125" s="1" t="s">
        <v>32</v>
      </c>
      <c r="K125" s="1" t="s">
        <v>35</v>
      </c>
      <c r="L125" s="1" t="s">
        <v>54</v>
      </c>
      <c r="M125" s="2">
        <v>7</v>
      </c>
      <c r="N125" s="5">
        <v>6000</v>
      </c>
      <c r="O125" s="1">
        <v>200</v>
      </c>
      <c r="P125" s="1">
        <v>64</v>
      </c>
      <c r="Q125" s="1">
        <v>3</v>
      </c>
      <c r="R125" s="3">
        <v>0.92805032046755276</v>
      </c>
      <c r="S125" s="4">
        <v>0.10627363616054</v>
      </c>
      <c r="T125" s="3">
        <v>0.77489646388279088</v>
      </c>
      <c r="U125" s="9">
        <v>46035</v>
      </c>
    </row>
    <row r="126" spans="1:21">
      <c r="A126" s="1">
        <v>125</v>
      </c>
      <c r="B126" s="1" t="s">
        <v>29</v>
      </c>
      <c r="C126" s="1" t="s">
        <v>22</v>
      </c>
      <c r="D126" s="1" t="s">
        <v>53</v>
      </c>
      <c r="E126" s="1" t="s">
        <v>30</v>
      </c>
      <c r="F126" s="1" t="str">
        <f t="shared" si="42"/>
        <v>225</v>
      </c>
      <c r="G126" s="1" t="str">
        <f t="shared" si="43"/>
        <v>50</v>
      </c>
      <c r="H126" s="1" t="str">
        <f t="shared" si="44"/>
        <v>19</v>
      </c>
      <c r="I126" s="1" t="s">
        <v>31</v>
      </c>
      <c r="J126" s="1" t="s">
        <v>32</v>
      </c>
      <c r="K126" s="1" t="s">
        <v>35</v>
      </c>
      <c r="L126" s="1" t="s">
        <v>54</v>
      </c>
      <c r="M126" s="2">
        <v>7</v>
      </c>
      <c r="N126" s="5">
        <v>6000</v>
      </c>
      <c r="O126" s="1">
        <v>200</v>
      </c>
      <c r="P126" s="1">
        <v>64</v>
      </c>
      <c r="Q126" s="1">
        <v>4</v>
      </c>
      <c r="R126" s="3">
        <v>0.95899115336255569</v>
      </c>
      <c r="S126" s="4">
        <v>0.116227738897363</v>
      </c>
      <c r="T126" s="3">
        <v>0.79274432258011029</v>
      </c>
      <c r="U126" s="9">
        <v>46035</v>
      </c>
    </row>
    <row r="127" spans="1:21">
      <c r="A127" s="1">
        <v>126</v>
      </c>
      <c r="B127" s="1" t="s">
        <v>29</v>
      </c>
      <c r="C127" s="1" t="s">
        <v>22</v>
      </c>
      <c r="D127" s="1" t="s">
        <v>53</v>
      </c>
      <c r="E127" s="1" t="s">
        <v>30</v>
      </c>
      <c r="F127" s="1" t="str">
        <f t="shared" si="42"/>
        <v>225</v>
      </c>
      <c r="G127" s="1" t="str">
        <f t="shared" si="43"/>
        <v>50</v>
      </c>
      <c r="H127" s="1" t="str">
        <f t="shared" si="44"/>
        <v>19</v>
      </c>
      <c r="I127" s="1" t="s">
        <v>31</v>
      </c>
      <c r="J127" s="1" t="s">
        <v>32</v>
      </c>
      <c r="K127" s="1" t="s">
        <v>35</v>
      </c>
      <c r="L127" s="1" t="s">
        <v>54</v>
      </c>
      <c r="M127" s="2">
        <v>7</v>
      </c>
      <c r="N127" s="5">
        <v>6000</v>
      </c>
      <c r="O127" s="1">
        <v>200</v>
      </c>
      <c r="P127" s="1">
        <v>64</v>
      </c>
      <c r="Q127" s="1">
        <v>5</v>
      </c>
      <c r="R127" s="3">
        <v>0.94074224403164375</v>
      </c>
      <c r="S127" s="4">
        <v>0.12308408953378271</v>
      </c>
      <c r="T127" s="3">
        <v>0.79696316635222098</v>
      </c>
      <c r="U127" s="9">
        <v>46035</v>
      </c>
    </row>
    <row r="128" spans="1:21">
      <c r="A128" s="1">
        <v>127</v>
      </c>
      <c r="B128" s="1" t="s">
        <v>29</v>
      </c>
      <c r="C128" s="1" t="s">
        <v>22</v>
      </c>
      <c r="D128" s="1" t="s">
        <v>53</v>
      </c>
      <c r="E128" s="1" t="s">
        <v>30</v>
      </c>
      <c r="F128" s="1" t="str">
        <f t="shared" si="42"/>
        <v>225</v>
      </c>
      <c r="G128" s="1" t="str">
        <f t="shared" si="43"/>
        <v>50</v>
      </c>
      <c r="H128" s="1" t="str">
        <f t="shared" si="44"/>
        <v>19</v>
      </c>
      <c r="I128" s="1" t="s">
        <v>31</v>
      </c>
      <c r="J128" s="1" t="s">
        <v>32</v>
      </c>
      <c r="K128" s="1" t="s">
        <v>35</v>
      </c>
      <c r="L128" s="1" t="s">
        <v>54</v>
      </c>
      <c r="M128" s="2">
        <v>7</v>
      </c>
      <c r="N128" s="5">
        <v>6000</v>
      </c>
      <c r="O128" s="1">
        <v>200</v>
      </c>
      <c r="P128" s="1">
        <v>64</v>
      </c>
      <c r="Q128" s="1">
        <v>6</v>
      </c>
      <c r="R128" s="3">
        <v>0.9756002165210903</v>
      </c>
      <c r="S128" s="4">
        <v>0.11264877010484479</v>
      </c>
      <c r="T128" s="3">
        <v>0.82253094017099038</v>
      </c>
      <c r="U128" s="9">
        <v>46035</v>
      </c>
    </row>
    <row r="129" spans="1:21">
      <c r="A129" s="1">
        <v>128</v>
      </c>
      <c r="B129" s="1" t="s">
        <v>21</v>
      </c>
      <c r="C129" s="1" t="s">
        <v>55</v>
      </c>
      <c r="D129" s="1" t="s">
        <v>56</v>
      </c>
      <c r="E129" s="1" t="s">
        <v>49</v>
      </c>
      <c r="F129" s="1" t="str">
        <f t="shared" si="42"/>
        <v>215</v>
      </c>
      <c r="G129" s="1" t="str">
        <f t="shared" si="43"/>
        <v>60</v>
      </c>
      <c r="H129" s="1" t="str">
        <f t="shared" si="44"/>
        <v>17</v>
      </c>
      <c r="I129" s="1" t="s">
        <v>57</v>
      </c>
      <c r="J129" s="1" t="s">
        <v>58</v>
      </c>
      <c r="K129" s="1" t="s">
        <v>27</v>
      </c>
      <c r="L129" s="1" t="s">
        <v>28</v>
      </c>
      <c r="M129" s="2">
        <v>6.5</v>
      </c>
      <c r="N129" s="5">
        <v>5200</v>
      </c>
      <c r="O129" s="1">
        <v>180</v>
      </c>
      <c r="P129" s="1">
        <v>65</v>
      </c>
      <c r="Q129" s="1">
        <v>1</v>
      </c>
      <c r="R129" s="3">
        <v>0.83496100227190873</v>
      </c>
      <c r="S129" s="4">
        <v>0.1047273846900354</v>
      </c>
      <c r="T129" s="3">
        <v>0.41074461290277792</v>
      </c>
      <c r="U129" s="9">
        <v>46009</v>
      </c>
    </row>
    <row r="130" spans="1:21">
      <c r="A130" s="1">
        <v>129</v>
      </c>
      <c r="B130" s="1" t="s">
        <v>21</v>
      </c>
      <c r="C130" s="1" t="s">
        <v>55</v>
      </c>
      <c r="D130" s="1" t="s">
        <v>56</v>
      </c>
      <c r="E130" s="1" t="s">
        <v>49</v>
      </c>
      <c r="F130" s="1" t="str">
        <f t="shared" ref="F130:F134" si="45">LEFT(E130,3)</f>
        <v>215</v>
      </c>
      <c r="G130" s="1" t="str">
        <f t="shared" ref="G130:G134" si="46">MID(E130,5,2)</f>
        <v>60</v>
      </c>
      <c r="H130" s="1" t="str">
        <f t="shared" ref="H130:H134" si="47">MID(E130,8,2)</f>
        <v>17</v>
      </c>
      <c r="I130" s="1" t="s">
        <v>57</v>
      </c>
      <c r="J130" s="1" t="s">
        <v>58</v>
      </c>
      <c r="K130" s="1" t="s">
        <v>27</v>
      </c>
      <c r="L130" s="1" t="s">
        <v>28</v>
      </c>
      <c r="M130" s="2">
        <v>6.5</v>
      </c>
      <c r="N130" s="5">
        <v>5200</v>
      </c>
      <c r="O130" s="1">
        <v>180</v>
      </c>
      <c r="P130" s="1">
        <v>65</v>
      </c>
      <c r="Q130" s="1">
        <v>2</v>
      </c>
      <c r="R130" s="3">
        <v>0.87648677370824524</v>
      </c>
      <c r="S130" s="4">
        <v>0.13544291725917801</v>
      </c>
      <c r="T130" s="3">
        <v>0.49768028489509109</v>
      </c>
      <c r="U130" s="9">
        <v>46009</v>
      </c>
    </row>
    <row r="131" spans="1:21">
      <c r="A131" s="1">
        <v>130</v>
      </c>
      <c r="B131" s="1" t="s">
        <v>21</v>
      </c>
      <c r="C131" s="1" t="s">
        <v>55</v>
      </c>
      <c r="D131" s="1" t="s">
        <v>56</v>
      </c>
      <c r="E131" s="1" t="s">
        <v>49</v>
      </c>
      <c r="F131" s="1" t="str">
        <f t="shared" si="45"/>
        <v>215</v>
      </c>
      <c r="G131" s="1" t="str">
        <f t="shared" si="46"/>
        <v>60</v>
      </c>
      <c r="H131" s="1" t="str">
        <f t="shared" si="47"/>
        <v>17</v>
      </c>
      <c r="I131" s="1" t="s">
        <v>57</v>
      </c>
      <c r="J131" s="1" t="s">
        <v>58</v>
      </c>
      <c r="K131" s="1" t="s">
        <v>27</v>
      </c>
      <c r="L131" s="1" t="s">
        <v>28</v>
      </c>
      <c r="M131" s="2">
        <v>6.5</v>
      </c>
      <c r="N131" s="5">
        <v>5200</v>
      </c>
      <c r="O131" s="1">
        <v>180</v>
      </c>
      <c r="P131" s="1">
        <v>65</v>
      </c>
      <c r="Q131" s="1">
        <v>3</v>
      </c>
      <c r="R131" s="3">
        <v>0.86343659226307357</v>
      </c>
      <c r="S131" s="4">
        <v>9.6891762733323894E-2</v>
      </c>
      <c r="T131" s="3">
        <v>0.4624681637348097</v>
      </c>
      <c r="U131" s="9">
        <v>46009</v>
      </c>
    </row>
    <row r="132" spans="1:21">
      <c r="A132" s="1">
        <v>131</v>
      </c>
      <c r="B132" s="1" t="s">
        <v>21</v>
      </c>
      <c r="C132" s="1" t="s">
        <v>55</v>
      </c>
      <c r="D132" s="1" t="s">
        <v>56</v>
      </c>
      <c r="E132" s="1" t="s">
        <v>49</v>
      </c>
      <c r="F132" s="1" t="str">
        <f t="shared" si="45"/>
        <v>215</v>
      </c>
      <c r="G132" s="1" t="str">
        <f t="shared" si="46"/>
        <v>60</v>
      </c>
      <c r="H132" s="1" t="str">
        <f t="shared" si="47"/>
        <v>17</v>
      </c>
      <c r="I132" s="1" t="s">
        <v>57</v>
      </c>
      <c r="J132" s="1" t="s">
        <v>58</v>
      </c>
      <c r="K132" s="1" t="s">
        <v>27</v>
      </c>
      <c r="L132" s="1" t="s">
        <v>28</v>
      </c>
      <c r="M132" s="2">
        <v>6.5</v>
      </c>
      <c r="N132" s="5">
        <v>5200</v>
      </c>
      <c r="O132" s="1">
        <v>180</v>
      </c>
      <c r="P132" s="1">
        <v>65</v>
      </c>
      <c r="Q132" s="1">
        <v>4</v>
      </c>
      <c r="R132" s="3">
        <v>0.87350722350153998</v>
      </c>
      <c r="S132" s="4">
        <v>0.1158046732905971</v>
      </c>
      <c r="T132" s="3">
        <v>0.49346989013880271</v>
      </c>
      <c r="U132" s="9">
        <v>46009</v>
      </c>
    </row>
    <row r="133" spans="1:21">
      <c r="A133" s="1">
        <v>132</v>
      </c>
      <c r="B133" s="1" t="s">
        <v>21</v>
      </c>
      <c r="C133" s="1" t="s">
        <v>55</v>
      </c>
      <c r="D133" s="1" t="s">
        <v>56</v>
      </c>
      <c r="E133" s="1" t="s">
        <v>49</v>
      </c>
      <c r="F133" s="1" t="str">
        <f t="shared" si="45"/>
        <v>215</v>
      </c>
      <c r="G133" s="1" t="str">
        <f t="shared" si="46"/>
        <v>60</v>
      </c>
      <c r="H133" s="1" t="str">
        <f t="shared" si="47"/>
        <v>17</v>
      </c>
      <c r="I133" s="1" t="s">
        <v>57</v>
      </c>
      <c r="J133" s="1" t="s">
        <v>58</v>
      </c>
      <c r="K133" s="1" t="s">
        <v>27</v>
      </c>
      <c r="L133" s="1" t="s">
        <v>28</v>
      </c>
      <c r="M133" s="2">
        <v>6.5</v>
      </c>
      <c r="N133" s="5">
        <v>5200</v>
      </c>
      <c r="O133" s="1">
        <v>180</v>
      </c>
      <c r="P133" s="1">
        <v>65</v>
      </c>
      <c r="Q133" s="1">
        <v>5</v>
      </c>
      <c r="R133" s="3">
        <v>0.86450902625801762</v>
      </c>
      <c r="S133" s="4">
        <v>8.0466169317857189E-2</v>
      </c>
      <c r="T133" s="3">
        <v>0.47280516988623128</v>
      </c>
      <c r="U133" s="9">
        <v>46009</v>
      </c>
    </row>
    <row r="134" spans="1:21">
      <c r="A134" s="1">
        <v>133</v>
      </c>
      <c r="B134" s="1" t="s">
        <v>21</v>
      </c>
      <c r="C134" s="1" t="s">
        <v>55</v>
      </c>
      <c r="D134" s="1" t="s">
        <v>56</v>
      </c>
      <c r="E134" s="1" t="s">
        <v>49</v>
      </c>
      <c r="F134" s="1" t="str">
        <f t="shared" si="45"/>
        <v>215</v>
      </c>
      <c r="G134" s="1" t="str">
        <f t="shared" si="46"/>
        <v>60</v>
      </c>
      <c r="H134" s="1" t="str">
        <f t="shared" si="47"/>
        <v>17</v>
      </c>
      <c r="I134" s="1" t="s">
        <v>57</v>
      </c>
      <c r="J134" s="1" t="s">
        <v>58</v>
      </c>
      <c r="K134" s="1" t="s">
        <v>27</v>
      </c>
      <c r="L134" s="1" t="s">
        <v>28</v>
      </c>
      <c r="M134" s="2">
        <v>6.5</v>
      </c>
      <c r="N134" s="5">
        <v>5200</v>
      </c>
      <c r="O134" s="1">
        <v>180</v>
      </c>
      <c r="P134" s="1">
        <v>65</v>
      </c>
      <c r="Q134" s="1">
        <v>6</v>
      </c>
      <c r="R134" s="3">
        <v>0.89914931458074032</v>
      </c>
      <c r="S134" s="4">
        <v>9.9109327553737553E-2</v>
      </c>
      <c r="T134" s="3">
        <v>0.52648882039864575</v>
      </c>
      <c r="U134" s="9">
        <v>46009</v>
      </c>
    </row>
    <row r="135" spans="1:21">
      <c r="A135" s="1">
        <v>134</v>
      </c>
      <c r="B135" s="1" t="s">
        <v>29</v>
      </c>
      <c r="C135" s="1" t="s">
        <v>55</v>
      </c>
      <c r="D135" s="1" t="s">
        <v>56</v>
      </c>
      <c r="E135" s="1" t="s">
        <v>49</v>
      </c>
      <c r="F135" s="1" t="str">
        <f t="shared" ref="F135:F146" si="48">LEFT(E135,3)</f>
        <v>215</v>
      </c>
      <c r="G135" s="1" t="str">
        <f t="shared" ref="G135:G146" si="49">MID(E135,5,2)</f>
        <v>60</v>
      </c>
      <c r="H135" s="1" t="str">
        <f t="shared" ref="H135:H146" si="50">MID(E135,8,2)</f>
        <v>17</v>
      </c>
      <c r="I135" s="1" t="s">
        <v>57</v>
      </c>
      <c r="J135" s="1" t="s">
        <v>58</v>
      </c>
      <c r="K135" s="1" t="s">
        <v>27</v>
      </c>
      <c r="L135" s="1" t="s">
        <v>28</v>
      </c>
      <c r="M135" s="2">
        <v>6.5</v>
      </c>
      <c r="N135" s="5">
        <v>5200</v>
      </c>
      <c r="O135" s="1">
        <v>180</v>
      </c>
      <c r="P135" s="1">
        <v>65</v>
      </c>
      <c r="Q135" s="1">
        <v>1</v>
      </c>
      <c r="R135" s="3">
        <v>1.0010516954538291</v>
      </c>
      <c r="S135" s="4">
        <v>9.198139123694353E-2</v>
      </c>
      <c r="T135" s="3">
        <v>0.62079290923191988</v>
      </c>
      <c r="U135" s="9">
        <v>46009</v>
      </c>
    </row>
    <row r="136" spans="1:21">
      <c r="A136" s="1">
        <v>135</v>
      </c>
      <c r="B136" s="1" t="s">
        <v>29</v>
      </c>
      <c r="C136" s="1" t="s">
        <v>55</v>
      </c>
      <c r="D136" s="1" t="s">
        <v>56</v>
      </c>
      <c r="E136" s="1" t="s">
        <v>49</v>
      </c>
      <c r="F136" s="1" t="str">
        <f t="shared" si="48"/>
        <v>215</v>
      </c>
      <c r="G136" s="1" t="str">
        <f t="shared" si="49"/>
        <v>60</v>
      </c>
      <c r="H136" s="1" t="str">
        <f t="shared" si="50"/>
        <v>17</v>
      </c>
      <c r="I136" s="1" t="s">
        <v>57</v>
      </c>
      <c r="J136" s="1" t="s">
        <v>58</v>
      </c>
      <c r="K136" s="1" t="s">
        <v>27</v>
      </c>
      <c r="L136" s="1" t="s">
        <v>28</v>
      </c>
      <c r="M136" s="2">
        <v>6.5</v>
      </c>
      <c r="N136" s="5">
        <v>5200</v>
      </c>
      <c r="O136" s="1">
        <v>180</v>
      </c>
      <c r="P136" s="1">
        <v>65</v>
      </c>
      <c r="Q136" s="1">
        <v>2</v>
      </c>
      <c r="R136" s="3">
        <v>0.99853559411213977</v>
      </c>
      <c r="S136" s="4">
        <v>8.849195900195686E-2</v>
      </c>
      <c r="T136" s="3">
        <v>0.65756509407934671</v>
      </c>
      <c r="U136" s="9">
        <v>46009</v>
      </c>
    </row>
    <row r="137" spans="1:21">
      <c r="A137" s="1">
        <v>136</v>
      </c>
      <c r="B137" s="1" t="s">
        <v>29</v>
      </c>
      <c r="C137" s="1" t="s">
        <v>55</v>
      </c>
      <c r="D137" s="1" t="s">
        <v>56</v>
      </c>
      <c r="E137" s="1" t="s">
        <v>49</v>
      </c>
      <c r="F137" s="1" t="str">
        <f t="shared" si="48"/>
        <v>215</v>
      </c>
      <c r="G137" s="1" t="str">
        <f t="shared" si="49"/>
        <v>60</v>
      </c>
      <c r="H137" s="1" t="str">
        <f t="shared" si="50"/>
        <v>17</v>
      </c>
      <c r="I137" s="1" t="s">
        <v>57</v>
      </c>
      <c r="J137" s="1" t="s">
        <v>58</v>
      </c>
      <c r="K137" s="1" t="s">
        <v>27</v>
      </c>
      <c r="L137" s="1" t="s">
        <v>28</v>
      </c>
      <c r="M137" s="2">
        <v>6.5</v>
      </c>
      <c r="N137" s="5">
        <v>5200</v>
      </c>
      <c r="O137" s="1">
        <v>180</v>
      </c>
      <c r="P137" s="1">
        <v>65</v>
      </c>
      <c r="Q137" s="1">
        <v>3</v>
      </c>
      <c r="R137" s="3">
        <v>0.93774246765560298</v>
      </c>
      <c r="S137" s="4">
        <v>0.11923805311082961</v>
      </c>
      <c r="T137" s="3">
        <v>0.62430978172141682</v>
      </c>
      <c r="U137" s="9">
        <v>46009</v>
      </c>
    </row>
    <row r="138" spans="1:21">
      <c r="A138" s="1">
        <v>137</v>
      </c>
      <c r="B138" s="1" t="s">
        <v>29</v>
      </c>
      <c r="C138" s="1" t="s">
        <v>55</v>
      </c>
      <c r="D138" s="1" t="s">
        <v>56</v>
      </c>
      <c r="E138" s="1" t="s">
        <v>49</v>
      </c>
      <c r="F138" s="1" t="str">
        <f t="shared" si="48"/>
        <v>215</v>
      </c>
      <c r="G138" s="1" t="str">
        <f t="shared" si="49"/>
        <v>60</v>
      </c>
      <c r="H138" s="1" t="str">
        <f t="shared" si="50"/>
        <v>17</v>
      </c>
      <c r="I138" s="1" t="s">
        <v>57</v>
      </c>
      <c r="J138" s="1" t="s">
        <v>58</v>
      </c>
      <c r="K138" s="1" t="s">
        <v>27</v>
      </c>
      <c r="L138" s="1" t="s">
        <v>28</v>
      </c>
      <c r="M138" s="2">
        <v>6.5</v>
      </c>
      <c r="N138" s="5">
        <v>5200</v>
      </c>
      <c r="O138" s="1">
        <v>180</v>
      </c>
      <c r="P138" s="1">
        <v>65</v>
      </c>
      <c r="Q138" s="1">
        <v>4</v>
      </c>
      <c r="R138" s="3">
        <v>0.96152729167609596</v>
      </c>
      <c r="S138" s="4">
        <v>8.824930492783456E-2</v>
      </c>
      <c r="T138" s="3">
        <v>0.65382520656743992</v>
      </c>
      <c r="U138" s="9">
        <v>46009</v>
      </c>
    </row>
    <row r="139" spans="1:21">
      <c r="A139" s="1">
        <v>138</v>
      </c>
      <c r="B139" s="1" t="s">
        <v>29</v>
      </c>
      <c r="C139" s="1" t="s">
        <v>55</v>
      </c>
      <c r="D139" s="1" t="s">
        <v>56</v>
      </c>
      <c r="E139" s="1" t="s">
        <v>49</v>
      </c>
      <c r="F139" s="1" t="str">
        <f t="shared" si="48"/>
        <v>215</v>
      </c>
      <c r="G139" s="1" t="str">
        <f t="shared" si="49"/>
        <v>60</v>
      </c>
      <c r="H139" s="1" t="str">
        <f t="shared" si="50"/>
        <v>17</v>
      </c>
      <c r="I139" s="1" t="s">
        <v>57</v>
      </c>
      <c r="J139" s="1" t="s">
        <v>58</v>
      </c>
      <c r="K139" s="1" t="s">
        <v>27</v>
      </c>
      <c r="L139" s="1" t="s">
        <v>28</v>
      </c>
      <c r="M139" s="2">
        <v>6.5</v>
      </c>
      <c r="N139" s="5">
        <v>5200</v>
      </c>
      <c r="O139" s="1">
        <v>180</v>
      </c>
      <c r="P139" s="1">
        <v>65</v>
      </c>
      <c r="Q139" s="1">
        <v>5</v>
      </c>
      <c r="R139" s="3">
        <v>0.92627024772216959</v>
      </c>
      <c r="S139" s="4">
        <v>0.10879109605787821</v>
      </c>
      <c r="T139" s="3">
        <v>0.58121671274314335</v>
      </c>
      <c r="U139" s="9">
        <v>46009</v>
      </c>
    </row>
    <row r="140" spans="1:21">
      <c r="A140" s="1">
        <v>139</v>
      </c>
      <c r="B140" s="1" t="s">
        <v>29</v>
      </c>
      <c r="C140" s="1" t="s">
        <v>55</v>
      </c>
      <c r="D140" s="1" t="s">
        <v>56</v>
      </c>
      <c r="E140" s="1" t="s">
        <v>49</v>
      </c>
      <c r="F140" s="1" t="str">
        <f t="shared" si="48"/>
        <v>215</v>
      </c>
      <c r="G140" s="1" t="str">
        <f t="shared" si="49"/>
        <v>60</v>
      </c>
      <c r="H140" s="1" t="str">
        <f t="shared" si="50"/>
        <v>17</v>
      </c>
      <c r="I140" s="1" t="s">
        <v>57</v>
      </c>
      <c r="J140" s="1" t="s">
        <v>58</v>
      </c>
      <c r="K140" s="1" t="s">
        <v>27</v>
      </c>
      <c r="L140" s="1" t="s">
        <v>28</v>
      </c>
      <c r="M140" s="2">
        <v>6.5</v>
      </c>
      <c r="N140" s="5">
        <v>5200</v>
      </c>
      <c r="O140" s="1">
        <v>180</v>
      </c>
      <c r="P140" s="1">
        <v>65</v>
      </c>
      <c r="Q140" s="1">
        <v>6</v>
      </c>
      <c r="R140" s="3">
        <v>0.91418669997159474</v>
      </c>
      <c r="S140" s="4">
        <v>0.1117062245235642</v>
      </c>
      <c r="T140" s="3">
        <v>0.59297016177722806</v>
      </c>
      <c r="U140" s="9">
        <v>46009</v>
      </c>
    </row>
    <row r="141" spans="1:21">
      <c r="A141" s="1">
        <v>140</v>
      </c>
      <c r="B141" s="1" t="s">
        <v>21</v>
      </c>
      <c r="C141" s="1" t="s">
        <v>55</v>
      </c>
      <c r="D141" s="1" t="s">
        <v>56</v>
      </c>
      <c r="E141" s="1" t="s">
        <v>49</v>
      </c>
      <c r="F141" s="1" t="str">
        <f t="shared" si="48"/>
        <v>215</v>
      </c>
      <c r="G141" s="1" t="str">
        <f t="shared" si="49"/>
        <v>60</v>
      </c>
      <c r="H141" s="1" t="str">
        <f t="shared" si="50"/>
        <v>17</v>
      </c>
      <c r="I141" s="1" t="s">
        <v>31</v>
      </c>
      <c r="J141" s="1" t="s">
        <v>50</v>
      </c>
      <c r="K141" s="1" t="s">
        <v>59</v>
      </c>
      <c r="L141" s="1" t="s">
        <v>42</v>
      </c>
      <c r="M141" s="2">
        <v>6.5</v>
      </c>
      <c r="N141" s="5">
        <v>5200</v>
      </c>
      <c r="O141" s="1">
        <v>180</v>
      </c>
      <c r="P141" s="1">
        <v>65</v>
      </c>
      <c r="Q141" s="1">
        <v>1</v>
      </c>
      <c r="R141" s="3">
        <v>0.79090968180788668</v>
      </c>
      <c r="S141" s="4">
        <v>0.1022990405993887</v>
      </c>
      <c r="T141" s="3">
        <v>0.44637705737501182</v>
      </c>
      <c r="U141" s="9">
        <v>46009</v>
      </c>
    </row>
    <row r="142" spans="1:21">
      <c r="A142" s="1">
        <v>141</v>
      </c>
      <c r="B142" s="1" t="s">
        <v>21</v>
      </c>
      <c r="C142" s="1" t="s">
        <v>55</v>
      </c>
      <c r="D142" s="1" t="s">
        <v>56</v>
      </c>
      <c r="E142" s="1" t="s">
        <v>49</v>
      </c>
      <c r="F142" s="1" t="str">
        <f t="shared" si="48"/>
        <v>215</v>
      </c>
      <c r="G142" s="1" t="str">
        <f t="shared" si="49"/>
        <v>60</v>
      </c>
      <c r="H142" s="1" t="str">
        <f t="shared" si="50"/>
        <v>17</v>
      </c>
      <c r="I142" s="1" t="s">
        <v>31</v>
      </c>
      <c r="J142" s="1" t="s">
        <v>50</v>
      </c>
      <c r="K142" s="1" t="s">
        <v>59</v>
      </c>
      <c r="L142" s="1" t="s">
        <v>42</v>
      </c>
      <c r="M142" s="2">
        <v>6.5</v>
      </c>
      <c r="N142" s="5">
        <v>5200</v>
      </c>
      <c r="O142" s="1">
        <v>180</v>
      </c>
      <c r="P142" s="1">
        <v>65</v>
      </c>
      <c r="Q142" s="1">
        <v>2</v>
      </c>
      <c r="R142" s="3">
        <v>0.83743252427129666</v>
      </c>
      <c r="S142" s="4">
        <v>0.1175212705370933</v>
      </c>
      <c r="T142" s="3">
        <v>0.46696987965201281</v>
      </c>
      <c r="U142" s="9">
        <v>46009</v>
      </c>
    </row>
    <row r="143" spans="1:21">
      <c r="A143" s="1">
        <v>142</v>
      </c>
      <c r="B143" s="1" t="s">
        <v>21</v>
      </c>
      <c r="C143" s="1" t="s">
        <v>55</v>
      </c>
      <c r="D143" s="1" t="s">
        <v>56</v>
      </c>
      <c r="E143" s="1" t="s">
        <v>49</v>
      </c>
      <c r="F143" s="1" t="str">
        <f t="shared" si="48"/>
        <v>215</v>
      </c>
      <c r="G143" s="1" t="str">
        <f t="shared" si="49"/>
        <v>60</v>
      </c>
      <c r="H143" s="1" t="str">
        <f t="shared" si="50"/>
        <v>17</v>
      </c>
      <c r="I143" s="1" t="s">
        <v>31</v>
      </c>
      <c r="J143" s="1" t="s">
        <v>50</v>
      </c>
      <c r="K143" s="1" t="s">
        <v>59</v>
      </c>
      <c r="L143" s="1" t="s">
        <v>42</v>
      </c>
      <c r="M143" s="2">
        <v>6.5</v>
      </c>
      <c r="N143" s="5">
        <v>5200</v>
      </c>
      <c r="O143" s="1">
        <v>180</v>
      </c>
      <c r="P143" s="1">
        <v>65</v>
      </c>
      <c r="Q143" s="1">
        <v>3</v>
      </c>
      <c r="R143" s="3">
        <v>0.81110355660067024</v>
      </c>
      <c r="S143" s="4">
        <v>9.6507191036780474E-2</v>
      </c>
      <c r="T143" s="3">
        <v>0.44928489800144622</v>
      </c>
      <c r="U143" s="9">
        <v>46009</v>
      </c>
    </row>
    <row r="144" spans="1:21">
      <c r="A144" s="1">
        <v>143</v>
      </c>
      <c r="B144" s="1" t="s">
        <v>21</v>
      </c>
      <c r="C144" s="1" t="s">
        <v>55</v>
      </c>
      <c r="D144" s="1" t="s">
        <v>56</v>
      </c>
      <c r="E144" s="1" t="s">
        <v>49</v>
      </c>
      <c r="F144" s="1" t="str">
        <f t="shared" si="48"/>
        <v>215</v>
      </c>
      <c r="G144" s="1" t="str">
        <f t="shared" si="49"/>
        <v>60</v>
      </c>
      <c r="H144" s="1" t="str">
        <f t="shared" si="50"/>
        <v>17</v>
      </c>
      <c r="I144" s="1" t="s">
        <v>31</v>
      </c>
      <c r="J144" s="1" t="s">
        <v>50</v>
      </c>
      <c r="K144" s="1" t="s">
        <v>59</v>
      </c>
      <c r="L144" s="1" t="s">
        <v>42</v>
      </c>
      <c r="M144" s="2">
        <v>6.5</v>
      </c>
      <c r="N144" s="5">
        <v>5200</v>
      </c>
      <c r="O144" s="1">
        <v>180</v>
      </c>
      <c r="P144" s="1">
        <v>65</v>
      </c>
      <c r="Q144" s="1">
        <v>4</v>
      </c>
      <c r="R144" s="3">
        <v>0.82492496431555262</v>
      </c>
      <c r="S144" s="4">
        <v>0.1067492355517714</v>
      </c>
      <c r="T144" s="3">
        <v>0.45467582490609137</v>
      </c>
      <c r="U144" s="9">
        <v>46009</v>
      </c>
    </row>
    <row r="145" spans="1:21">
      <c r="A145" s="1">
        <v>144</v>
      </c>
      <c r="B145" s="1" t="s">
        <v>21</v>
      </c>
      <c r="C145" s="1" t="s">
        <v>55</v>
      </c>
      <c r="D145" s="1" t="s">
        <v>56</v>
      </c>
      <c r="E145" s="1" t="s">
        <v>49</v>
      </c>
      <c r="F145" s="1" t="str">
        <f t="shared" si="48"/>
        <v>215</v>
      </c>
      <c r="G145" s="1" t="str">
        <f t="shared" si="49"/>
        <v>60</v>
      </c>
      <c r="H145" s="1" t="str">
        <f t="shared" si="50"/>
        <v>17</v>
      </c>
      <c r="I145" s="1" t="s">
        <v>31</v>
      </c>
      <c r="J145" s="1" t="s">
        <v>50</v>
      </c>
      <c r="K145" s="1" t="s">
        <v>59</v>
      </c>
      <c r="L145" s="1" t="s">
        <v>42</v>
      </c>
      <c r="M145" s="2">
        <v>6.5</v>
      </c>
      <c r="N145" s="5">
        <v>5200</v>
      </c>
      <c r="O145" s="1">
        <v>180</v>
      </c>
      <c r="P145" s="1">
        <v>65</v>
      </c>
      <c r="Q145" s="1">
        <v>5</v>
      </c>
      <c r="R145" s="3">
        <v>0.77804210776028238</v>
      </c>
      <c r="S145" s="4">
        <v>0.11912136383040819</v>
      </c>
      <c r="T145" s="3">
        <v>0.41079550896525102</v>
      </c>
      <c r="U145" s="9">
        <v>46009</v>
      </c>
    </row>
    <row r="146" spans="1:21">
      <c r="A146" s="1">
        <v>145</v>
      </c>
      <c r="B146" s="1" t="s">
        <v>21</v>
      </c>
      <c r="C146" s="1" t="s">
        <v>55</v>
      </c>
      <c r="D146" s="1" t="s">
        <v>56</v>
      </c>
      <c r="E146" s="1" t="s">
        <v>49</v>
      </c>
      <c r="F146" s="1" t="str">
        <f t="shared" si="48"/>
        <v>215</v>
      </c>
      <c r="G146" s="1" t="str">
        <f t="shared" si="49"/>
        <v>60</v>
      </c>
      <c r="H146" s="1" t="str">
        <f t="shared" si="50"/>
        <v>17</v>
      </c>
      <c r="I146" s="1" t="s">
        <v>31</v>
      </c>
      <c r="J146" s="1" t="s">
        <v>50</v>
      </c>
      <c r="K146" s="1" t="s">
        <v>59</v>
      </c>
      <c r="L146" s="1" t="s">
        <v>42</v>
      </c>
      <c r="M146" s="2">
        <v>6.5</v>
      </c>
      <c r="N146" s="5">
        <v>5200</v>
      </c>
      <c r="O146" s="1">
        <v>180</v>
      </c>
      <c r="P146" s="1">
        <v>65</v>
      </c>
      <c r="Q146" s="1">
        <v>6</v>
      </c>
      <c r="R146" s="3">
        <v>0.84406215070235224</v>
      </c>
      <c r="S146" s="4">
        <v>0.13562877054030889</v>
      </c>
      <c r="T146" s="3">
        <v>0.48279926873499052</v>
      </c>
      <c r="U146" s="9">
        <v>46009</v>
      </c>
    </row>
    <row r="147" spans="1:21">
      <c r="A147" s="1">
        <v>146</v>
      </c>
      <c r="B147" s="1" t="s">
        <v>29</v>
      </c>
      <c r="C147" s="1" t="s">
        <v>55</v>
      </c>
      <c r="D147" s="1" t="s">
        <v>56</v>
      </c>
      <c r="E147" s="1" t="s">
        <v>49</v>
      </c>
      <c r="F147" s="1" t="str">
        <f t="shared" ref="F147:F153" si="51">LEFT(E147,3)</f>
        <v>215</v>
      </c>
      <c r="G147" s="1" t="str">
        <f t="shared" ref="G147:G153" si="52">MID(E147,5,2)</f>
        <v>60</v>
      </c>
      <c r="H147" s="1" t="str">
        <f t="shared" ref="H147:H153" si="53">MID(E147,8,2)</f>
        <v>17</v>
      </c>
      <c r="I147" s="1" t="s">
        <v>31</v>
      </c>
      <c r="J147" s="1" t="s">
        <v>50</v>
      </c>
      <c r="K147" s="1" t="s">
        <v>59</v>
      </c>
      <c r="L147" s="1" t="s">
        <v>42</v>
      </c>
      <c r="M147" s="2">
        <v>6.5</v>
      </c>
      <c r="N147" s="5">
        <v>5200</v>
      </c>
      <c r="O147" s="1">
        <v>180</v>
      </c>
      <c r="P147" s="1">
        <v>65</v>
      </c>
      <c r="Q147" s="1">
        <v>1</v>
      </c>
      <c r="R147" s="3">
        <v>0.93221668090302556</v>
      </c>
      <c r="S147" s="4">
        <v>0.1003701992020833</v>
      </c>
      <c r="T147" s="3">
        <v>0.69591260792004139</v>
      </c>
      <c r="U147" s="9">
        <v>46009</v>
      </c>
    </row>
    <row r="148" spans="1:21">
      <c r="A148" s="1">
        <v>147</v>
      </c>
      <c r="B148" s="1" t="s">
        <v>29</v>
      </c>
      <c r="C148" s="1" t="s">
        <v>55</v>
      </c>
      <c r="D148" s="1" t="s">
        <v>56</v>
      </c>
      <c r="E148" s="1" t="s">
        <v>49</v>
      </c>
      <c r="F148" s="1" t="str">
        <f t="shared" si="51"/>
        <v>215</v>
      </c>
      <c r="G148" s="1" t="str">
        <f t="shared" si="52"/>
        <v>60</v>
      </c>
      <c r="H148" s="1" t="str">
        <f t="shared" si="53"/>
        <v>17</v>
      </c>
      <c r="I148" s="1" t="s">
        <v>31</v>
      </c>
      <c r="J148" s="1" t="s">
        <v>50</v>
      </c>
      <c r="K148" s="1" t="s">
        <v>59</v>
      </c>
      <c r="L148" s="1" t="s">
        <v>42</v>
      </c>
      <c r="M148" s="2">
        <v>6.5</v>
      </c>
      <c r="N148" s="5">
        <v>5200</v>
      </c>
      <c r="O148" s="1">
        <v>180</v>
      </c>
      <c r="P148" s="1">
        <v>65</v>
      </c>
      <c r="Q148" s="1">
        <v>2</v>
      </c>
      <c r="R148" s="3">
        <v>0.94970645359606753</v>
      </c>
      <c r="S148" s="4">
        <v>0.100217349237347</v>
      </c>
      <c r="T148" s="3">
        <v>0.69679341120877147</v>
      </c>
      <c r="U148" s="9">
        <v>46009</v>
      </c>
    </row>
    <row r="149" spans="1:21">
      <c r="A149" s="1">
        <v>148</v>
      </c>
      <c r="B149" s="1" t="s">
        <v>29</v>
      </c>
      <c r="C149" s="1" t="s">
        <v>55</v>
      </c>
      <c r="D149" s="1" t="s">
        <v>56</v>
      </c>
      <c r="E149" s="1" t="s">
        <v>49</v>
      </c>
      <c r="F149" s="1" t="str">
        <f t="shared" si="51"/>
        <v>215</v>
      </c>
      <c r="G149" s="1" t="str">
        <f t="shared" si="52"/>
        <v>60</v>
      </c>
      <c r="H149" s="1" t="str">
        <f t="shared" si="53"/>
        <v>17</v>
      </c>
      <c r="I149" s="1" t="s">
        <v>31</v>
      </c>
      <c r="J149" s="1" t="s">
        <v>50</v>
      </c>
      <c r="K149" s="1" t="s">
        <v>59</v>
      </c>
      <c r="L149" s="1" t="s">
        <v>42</v>
      </c>
      <c r="M149" s="2">
        <v>6.5</v>
      </c>
      <c r="N149" s="5">
        <v>5200</v>
      </c>
      <c r="O149" s="1">
        <v>180</v>
      </c>
      <c r="P149" s="1">
        <v>65</v>
      </c>
      <c r="Q149" s="1">
        <v>3</v>
      </c>
      <c r="R149" s="3">
        <v>0.93612292352366566</v>
      </c>
      <c r="S149" s="4">
        <v>0.1063097605912653</v>
      </c>
      <c r="T149" s="3">
        <v>0.73313145786949918</v>
      </c>
      <c r="U149" s="9">
        <v>46009</v>
      </c>
    </row>
    <row r="150" spans="1:21">
      <c r="A150" s="1">
        <v>149</v>
      </c>
      <c r="B150" s="1" t="s">
        <v>29</v>
      </c>
      <c r="C150" s="1" t="s">
        <v>55</v>
      </c>
      <c r="D150" s="1" t="s">
        <v>56</v>
      </c>
      <c r="E150" s="1" t="s">
        <v>49</v>
      </c>
      <c r="F150" s="1" t="str">
        <f t="shared" si="51"/>
        <v>215</v>
      </c>
      <c r="G150" s="1" t="str">
        <f t="shared" si="52"/>
        <v>60</v>
      </c>
      <c r="H150" s="1" t="str">
        <f t="shared" si="53"/>
        <v>17</v>
      </c>
      <c r="I150" s="1" t="s">
        <v>31</v>
      </c>
      <c r="J150" s="1" t="s">
        <v>50</v>
      </c>
      <c r="K150" s="1" t="s">
        <v>59</v>
      </c>
      <c r="L150" s="1" t="s">
        <v>42</v>
      </c>
      <c r="M150" s="2">
        <v>6.5</v>
      </c>
      <c r="N150" s="5">
        <v>5200</v>
      </c>
      <c r="O150" s="1">
        <v>180</v>
      </c>
      <c r="P150" s="1">
        <v>65</v>
      </c>
      <c r="Q150" s="1">
        <v>4</v>
      </c>
      <c r="R150" s="3">
        <v>0.98432307664474428</v>
      </c>
      <c r="S150" s="4">
        <v>0.120256685844295</v>
      </c>
      <c r="T150" s="3">
        <v>0.79507760043344133</v>
      </c>
      <c r="U150" s="9">
        <v>46009</v>
      </c>
    </row>
    <row r="151" spans="1:21">
      <c r="A151" s="1">
        <v>150</v>
      </c>
      <c r="B151" s="1" t="s">
        <v>29</v>
      </c>
      <c r="C151" s="1" t="s">
        <v>55</v>
      </c>
      <c r="D151" s="1" t="s">
        <v>56</v>
      </c>
      <c r="E151" s="1" t="s">
        <v>49</v>
      </c>
      <c r="F151" s="1" t="str">
        <f t="shared" si="51"/>
        <v>215</v>
      </c>
      <c r="G151" s="1" t="str">
        <f t="shared" si="52"/>
        <v>60</v>
      </c>
      <c r="H151" s="1" t="str">
        <f t="shared" si="53"/>
        <v>17</v>
      </c>
      <c r="I151" s="1" t="s">
        <v>31</v>
      </c>
      <c r="J151" s="1" t="s">
        <v>50</v>
      </c>
      <c r="K151" s="1" t="s">
        <v>59</v>
      </c>
      <c r="L151" s="1" t="s">
        <v>42</v>
      </c>
      <c r="M151" s="2">
        <v>6.5</v>
      </c>
      <c r="N151" s="5">
        <v>5200</v>
      </c>
      <c r="O151" s="1">
        <v>180</v>
      </c>
      <c r="P151" s="1">
        <v>65</v>
      </c>
      <c r="Q151" s="1">
        <v>5</v>
      </c>
      <c r="R151" s="3">
        <v>0.92872860350326625</v>
      </c>
      <c r="S151" s="4">
        <v>0.10471493954110141</v>
      </c>
      <c r="T151" s="3">
        <v>0.73845601166329777</v>
      </c>
      <c r="U151" s="9">
        <v>46009</v>
      </c>
    </row>
    <row r="152" spans="1:21">
      <c r="A152" s="1">
        <v>151</v>
      </c>
      <c r="B152" s="1" t="s">
        <v>29</v>
      </c>
      <c r="C152" s="1" t="s">
        <v>55</v>
      </c>
      <c r="D152" s="1" t="s">
        <v>56</v>
      </c>
      <c r="E152" s="1" t="s">
        <v>49</v>
      </c>
      <c r="F152" s="1" t="str">
        <f t="shared" si="51"/>
        <v>215</v>
      </c>
      <c r="G152" s="1" t="str">
        <f t="shared" si="52"/>
        <v>60</v>
      </c>
      <c r="H152" s="1" t="str">
        <f t="shared" si="53"/>
        <v>17</v>
      </c>
      <c r="I152" s="1" t="s">
        <v>31</v>
      </c>
      <c r="J152" s="1" t="s">
        <v>50</v>
      </c>
      <c r="K152" s="1" t="s">
        <v>59</v>
      </c>
      <c r="L152" s="1" t="s">
        <v>42</v>
      </c>
      <c r="M152" s="2">
        <v>6.5</v>
      </c>
      <c r="N152" s="5">
        <v>5200</v>
      </c>
      <c r="O152" s="1">
        <v>180</v>
      </c>
      <c r="P152" s="1">
        <v>65</v>
      </c>
      <c r="Q152" s="1">
        <v>6</v>
      </c>
      <c r="R152" s="3">
        <v>0.92585646729989823</v>
      </c>
      <c r="S152" s="4">
        <v>0.11966280394844379</v>
      </c>
      <c r="T152" s="3">
        <v>0.72929347226385832</v>
      </c>
      <c r="U152" s="9">
        <v>46009</v>
      </c>
    </row>
    <row r="153" spans="1:21">
      <c r="A153" s="1">
        <v>152</v>
      </c>
      <c r="B153" s="1" t="s">
        <v>21</v>
      </c>
      <c r="C153" s="1" t="s">
        <v>22</v>
      </c>
      <c r="D153" s="1" t="s">
        <v>60</v>
      </c>
      <c r="E153" s="1" t="s">
        <v>30</v>
      </c>
      <c r="F153" s="1" t="str">
        <f t="shared" si="51"/>
        <v>225</v>
      </c>
      <c r="G153" s="1" t="str">
        <f t="shared" si="52"/>
        <v>50</v>
      </c>
      <c r="H153" s="1" t="str">
        <f t="shared" si="53"/>
        <v>19</v>
      </c>
      <c r="I153" s="1" t="s">
        <v>31</v>
      </c>
      <c r="J153" s="1" t="s">
        <v>32</v>
      </c>
      <c r="K153" s="1" t="s">
        <v>35</v>
      </c>
      <c r="L153" s="1" t="s">
        <v>61</v>
      </c>
      <c r="M153" s="2">
        <v>7</v>
      </c>
      <c r="N153" s="5">
        <v>6000</v>
      </c>
      <c r="O153" s="1">
        <v>200</v>
      </c>
      <c r="P153" s="1">
        <v>64</v>
      </c>
      <c r="Q153" s="1">
        <v>1</v>
      </c>
      <c r="R153" s="3">
        <v>0.68826268515372946</v>
      </c>
      <c r="S153" s="4">
        <v>0.13227354219318849</v>
      </c>
      <c r="T153" s="3">
        <v>0.37236696418107967</v>
      </c>
      <c r="U153" s="9">
        <v>45975</v>
      </c>
    </row>
    <row r="154" spans="1:21">
      <c r="A154" s="1">
        <v>153</v>
      </c>
      <c r="B154" s="1" t="s">
        <v>21</v>
      </c>
      <c r="C154" s="1" t="s">
        <v>22</v>
      </c>
      <c r="D154" s="1" t="s">
        <v>60</v>
      </c>
      <c r="E154" s="1" t="s">
        <v>30</v>
      </c>
      <c r="F154" s="1" t="str">
        <f t="shared" ref="F154:F157" si="54">LEFT(E154,3)</f>
        <v>225</v>
      </c>
      <c r="G154" s="1" t="str">
        <f t="shared" ref="G154:G157" si="55">MID(E154,5,2)</f>
        <v>50</v>
      </c>
      <c r="H154" s="1" t="str">
        <f t="shared" ref="H154:H157" si="56">MID(E154,8,2)</f>
        <v>19</v>
      </c>
      <c r="I154" s="1" t="s">
        <v>31</v>
      </c>
      <c r="J154" s="1" t="s">
        <v>32</v>
      </c>
      <c r="K154" s="1" t="s">
        <v>35</v>
      </c>
      <c r="L154" s="1" t="s">
        <v>61</v>
      </c>
      <c r="M154" s="2">
        <v>7</v>
      </c>
      <c r="N154" s="5">
        <v>6000</v>
      </c>
      <c r="O154" s="1">
        <v>200</v>
      </c>
      <c r="P154" s="1">
        <v>64</v>
      </c>
      <c r="Q154" s="1">
        <v>2</v>
      </c>
      <c r="R154" s="3">
        <v>0.7092261467009161</v>
      </c>
      <c r="S154" s="4">
        <v>0.13770049668845549</v>
      </c>
      <c r="T154" s="3">
        <v>0.37546823382741967</v>
      </c>
      <c r="U154" s="9">
        <v>45975</v>
      </c>
    </row>
    <row r="155" spans="1:21">
      <c r="A155" s="1">
        <v>154</v>
      </c>
      <c r="B155" s="1" t="s">
        <v>21</v>
      </c>
      <c r="C155" s="1" t="s">
        <v>22</v>
      </c>
      <c r="D155" s="1" t="s">
        <v>60</v>
      </c>
      <c r="E155" s="1" t="s">
        <v>30</v>
      </c>
      <c r="F155" s="1" t="str">
        <f t="shared" si="54"/>
        <v>225</v>
      </c>
      <c r="G155" s="1" t="str">
        <f t="shared" si="55"/>
        <v>50</v>
      </c>
      <c r="H155" s="1" t="str">
        <f t="shared" si="56"/>
        <v>19</v>
      </c>
      <c r="I155" s="1" t="s">
        <v>31</v>
      </c>
      <c r="J155" s="1" t="s">
        <v>32</v>
      </c>
      <c r="K155" s="1" t="s">
        <v>35</v>
      </c>
      <c r="L155" s="1" t="s">
        <v>61</v>
      </c>
      <c r="M155" s="2">
        <v>7</v>
      </c>
      <c r="N155" s="5">
        <v>6000</v>
      </c>
      <c r="O155" s="1">
        <v>200</v>
      </c>
      <c r="P155" s="1">
        <v>64</v>
      </c>
      <c r="Q155" s="1">
        <v>3</v>
      </c>
      <c r="R155" s="3">
        <v>0.73499064707779493</v>
      </c>
      <c r="S155" s="4">
        <v>9.4005968455617511E-2</v>
      </c>
      <c r="T155" s="3">
        <v>0.37309567065515947</v>
      </c>
      <c r="U155" s="9">
        <v>45975</v>
      </c>
    </row>
    <row r="156" spans="1:21">
      <c r="A156" s="1">
        <v>155</v>
      </c>
      <c r="B156" s="1" t="s">
        <v>21</v>
      </c>
      <c r="C156" s="1" t="s">
        <v>22</v>
      </c>
      <c r="D156" s="1" t="s">
        <v>60</v>
      </c>
      <c r="E156" s="1" t="s">
        <v>30</v>
      </c>
      <c r="F156" s="1" t="str">
        <f t="shared" si="54"/>
        <v>225</v>
      </c>
      <c r="G156" s="1" t="str">
        <f t="shared" si="55"/>
        <v>50</v>
      </c>
      <c r="H156" s="1" t="str">
        <f t="shared" si="56"/>
        <v>19</v>
      </c>
      <c r="I156" s="1" t="s">
        <v>31</v>
      </c>
      <c r="J156" s="1" t="s">
        <v>32</v>
      </c>
      <c r="K156" s="1" t="s">
        <v>35</v>
      </c>
      <c r="L156" s="1" t="s">
        <v>61</v>
      </c>
      <c r="M156" s="2">
        <v>7</v>
      </c>
      <c r="N156" s="5">
        <v>6000</v>
      </c>
      <c r="O156" s="1">
        <v>200</v>
      </c>
      <c r="P156" s="1">
        <v>64</v>
      </c>
      <c r="Q156" s="1">
        <v>4</v>
      </c>
      <c r="R156" s="3">
        <v>0.71115794364025553</v>
      </c>
      <c r="S156" s="4">
        <v>0.12565296853421051</v>
      </c>
      <c r="T156" s="3">
        <v>0.37158621489042071</v>
      </c>
      <c r="U156" s="9">
        <v>45975</v>
      </c>
    </row>
    <row r="157" spans="1:21">
      <c r="A157" s="1">
        <v>156</v>
      </c>
      <c r="B157" s="1" t="s">
        <v>21</v>
      </c>
      <c r="C157" s="1" t="s">
        <v>22</v>
      </c>
      <c r="D157" s="1" t="s">
        <v>60</v>
      </c>
      <c r="E157" s="1" t="s">
        <v>30</v>
      </c>
      <c r="F157" s="1" t="str">
        <f t="shared" si="54"/>
        <v>225</v>
      </c>
      <c r="G157" s="1" t="str">
        <f t="shared" si="55"/>
        <v>50</v>
      </c>
      <c r="H157" s="1" t="str">
        <f t="shared" si="56"/>
        <v>19</v>
      </c>
      <c r="I157" s="1" t="s">
        <v>31</v>
      </c>
      <c r="J157" s="1" t="s">
        <v>32</v>
      </c>
      <c r="K157" s="1" t="s">
        <v>35</v>
      </c>
      <c r="L157" s="1" t="s">
        <v>61</v>
      </c>
      <c r="M157" s="2">
        <v>7</v>
      </c>
      <c r="N157" s="5">
        <v>6000</v>
      </c>
      <c r="O157" s="1">
        <v>200</v>
      </c>
      <c r="P157" s="1">
        <v>64</v>
      </c>
      <c r="Q157" s="1">
        <v>5</v>
      </c>
      <c r="R157" s="3">
        <v>0.7193496233908554</v>
      </c>
      <c r="S157" s="4">
        <v>9.4601393521666063E-2</v>
      </c>
      <c r="T157" s="3">
        <v>0.37435167517217138</v>
      </c>
      <c r="U157" s="9">
        <v>45975</v>
      </c>
    </row>
    <row r="158" spans="1:21">
      <c r="A158" s="1">
        <v>157</v>
      </c>
      <c r="B158" s="1" t="s">
        <v>29</v>
      </c>
      <c r="C158" s="1" t="s">
        <v>22</v>
      </c>
      <c r="D158" s="1" t="s">
        <v>60</v>
      </c>
      <c r="E158" s="1" t="s">
        <v>30</v>
      </c>
      <c r="F158" s="1" t="str">
        <f t="shared" ref="F158:F163" si="57">LEFT(E158,3)</f>
        <v>225</v>
      </c>
      <c r="G158" s="1" t="str">
        <f t="shared" ref="G158:G163" si="58">MID(E158,5,2)</f>
        <v>50</v>
      </c>
      <c r="H158" s="1" t="str">
        <f t="shared" ref="H158:H163" si="59">MID(E158,8,2)</f>
        <v>19</v>
      </c>
      <c r="I158" s="1" t="s">
        <v>31</v>
      </c>
      <c r="J158" s="1" t="s">
        <v>32</v>
      </c>
      <c r="K158" s="1" t="s">
        <v>35</v>
      </c>
      <c r="L158" s="1" t="s">
        <v>61</v>
      </c>
      <c r="M158" s="2">
        <v>7</v>
      </c>
      <c r="N158" s="5">
        <v>6000</v>
      </c>
      <c r="O158" s="1">
        <v>200</v>
      </c>
      <c r="P158" s="1">
        <v>64</v>
      </c>
      <c r="Q158" s="1">
        <v>1</v>
      </c>
      <c r="R158" s="3">
        <v>0.99154165942608541</v>
      </c>
      <c r="S158" s="4">
        <v>0.13348576136633361</v>
      </c>
      <c r="T158" s="3">
        <v>0.64512147523341579</v>
      </c>
      <c r="U158" s="9">
        <v>45975</v>
      </c>
    </row>
    <row r="159" spans="1:21">
      <c r="A159" s="1">
        <v>158</v>
      </c>
      <c r="B159" s="1" t="s">
        <v>29</v>
      </c>
      <c r="C159" s="1" t="s">
        <v>22</v>
      </c>
      <c r="D159" s="1" t="s">
        <v>60</v>
      </c>
      <c r="E159" s="1" t="s">
        <v>30</v>
      </c>
      <c r="F159" s="1" t="str">
        <f t="shared" si="57"/>
        <v>225</v>
      </c>
      <c r="G159" s="1" t="str">
        <f t="shared" si="58"/>
        <v>50</v>
      </c>
      <c r="H159" s="1" t="str">
        <f t="shared" si="59"/>
        <v>19</v>
      </c>
      <c r="I159" s="1" t="s">
        <v>31</v>
      </c>
      <c r="J159" s="1" t="s">
        <v>32</v>
      </c>
      <c r="K159" s="1" t="s">
        <v>35</v>
      </c>
      <c r="L159" s="1" t="s">
        <v>61</v>
      </c>
      <c r="M159" s="2">
        <v>7</v>
      </c>
      <c r="N159" s="5">
        <v>6000</v>
      </c>
      <c r="O159" s="1">
        <v>200</v>
      </c>
      <c r="P159" s="1">
        <v>64</v>
      </c>
      <c r="Q159" s="1">
        <v>2</v>
      </c>
      <c r="R159" s="3">
        <v>0.9958090074431688</v>
      </c>
      <c r="S159" s="4">
        <v>0.10230313143194091</v>
      </c>
      <c r="T159" s="3">
        <v>0.642822979431248</v>
      </c>
      <c r="U159" s="9">
        <v>45975</v>
      </c>
    </row>
    <row r="160" spans="1:21">
      <c r="A160" s="1">
        <v>159</v>
      </c>
      <c r="B160" s="1" t="s">
        <v>29</v>
      </c>
      <c r="C160" s="1" t="s">
        <v>22</v>
      </c>
      <c r="D160" s="1" t="s">
        <v>60</v>
      </c>
      <c r="E160" s="1" t="s">
        <v>30</v>
      </c>
      <c r="F160" s="1" t="str">
        <f t="shared" si="57"/>
        <v>225</v>
      </c>
      <c r="G160" s="1" t="str">
        <f t="shared" si="58"/>
        <v>50</v>
      </c>
      <c r="H160" s="1" t="str">
        <f t="shared" si="59"/>
        <v>19</v>
      </c>
      <c r="I160" s="1" t="s">
        <v>31</v>
      </c>
      <c r="J160" s="1" t="s">
        <v>32</v>
      </c>
      <c r="K160" s="1" t="s">
        <v>35</v>
      </c>
      <c r="L160" s="1" t="s">
        <v>61</v>
      </c>
      <c r="M160" s="2">
        <v>7</v>
      </c>
      <c r="N160" s="5">
        <v>6000</v>
      </c>
      <c r="O160" s="1">
        <v>200</v>
      </c>
      <c r="P160" s="1">
        <v>64</v>
      </c>
      <c r="Q160" s="1">
        <v>3</v>
      </c>
      <c r="R160" s="3">
        <v>0.98184732310977252</v>
      </c>
      <c r="S160" s="4">
        <v>0.12670419038772299</v>
      </c>
      <c r="T160" s="3">
        <v>0.64773936218897066</v>
      </c>
      <c r="U160" s="9">
        <v>45975</v>
      </c>
    </row>
    <row r="161" spans="1:21">
      <c r="A161" s="1">
        <v>160</v>
      </c>
      <c r="B161" s="1" t="s">
        <v>29</v>
      </c>
      <c r="C161" s="1" t="s">
        <v>22</v>
      </c>
      <c r="D161" s="1" t="s">
        <v>60</v>
      </c>
      <c r="E161" s="1" t="s">
        <v>30</v>
      </c>
      <c r="F161" s="1" t="str">
        <f t="shared" si="57"/>
        <v>225</v>
      </c>
      <c r="G161" s="1" t="str">
        <f t="shared" si="58"/>
        <v>50</v>
      </c>
      <c r="H161" s="1" t="str">
        <f t="shared" si="59"/>
        <v>19</v>
      </c>
      <c r="I161" s="1" t="s">
        <v>31</v>
      </c>
      <c r="J161" s="1" t="s">
        <v>32</v>
      </c>
      <c r="K161" s="1" t="s">
        <v>35</v>
      </c>
      <c r="L161" s="1" t="s">
        <v>61</v>
      </c>
      <c r="M161" s="2">
        <v>7</v>
      </c>
      <c r="N161" s="5">
        <v>6000</v>
      </c>
      <c r="O161" s="1">
        <v>200</v>
      </c>
      <c r="P161" s="1">
        <v>64</v>
      </c>
      <c r="Q161" s="1">
        <v>4</v>
      </c>
      <c r="R161" s="3">
        <v>1.038138834154817</v>
      </c>
      <c r="S161" s="4">
        <v>8.7936614325679507E-2</v>
      </c>
      <c r="T161" s="3">
        <v>0.6545865580269643</v>
      </c>
      <c r="U161" s="9">
        <v>45975</v>
      </c>
    </row>
    <row r="162" spans="1:21">
      <c r="A162" s="1">
        <v>161</v>
      </c>
      <c r="B162" s="1" t="s">
        <v>29</v>
      </c>
      <c r="C162" s="1" t="s">
        <v>22</v>
      </c>
      <c r="D162" s="1" t="s">
        <v>60</v>
      </c>
      <c r="E162" s="1" t="s">
        <v>30</v>
      </c>
      <c r="F162" s="1" t="str">
        <f t="shared" si="57"/>
        <v>225</v>
      </c>
      <c r="G162" s="1" t="str">
        <f t="shared" si="58"/>
        <v>50</v>
      </c>
      <c r="H162" s="1" t="str">
        <f t="shared" si="59"/>
        <v>19</v>
      </c>
      <c r="I162" s="1" t="s">
        <v>31</v>
      </c>
      <c r="J162" s="1" t="s">
        <v>32</v>
      </c>
      <c r="K162" s="1" t="s">
        <v>35</v>
      </c>
      <c r="L162" s="1" t="s">
        <v>61</v>
      </c>
      <c r="M162" s="2">
        <v>7</v>
      </c>
      <c r="N162" s="5">
        <v>6000</v>
      </c>
      <c r="O162" s="1">
        <v>200</v>
      </c>
      <c r="P162" s="1">
        <v>64</v>
      </c>
      <c r="Q162" s="1">
        <v>5</v>
      </c>
      <c r="R162" s="3">
        <v>1.007280423585986</v>
      </c>
      <c r="S162" s="4">
        <v>7.6970052815283338E-2</v>
      </c>
      <c r="T162" s="3">
        <v>0.63586461956627172</v>
      </c>
      <c r="U162" s="9">
        <v>45975</v>
      </c>
    </row>
    <row r="163" spans="1:21">
      <c r="A163" s="1">
        <v>162</v>
      </c>
      <c r="B163" s="1" t="s">
        <v>29</v>
      </c>
      <c r="C163" s="1" t="s">
        <v>22</v>
      </c>
      <c r="D163" s="1" t="s">
        <v>60</v>
      </c>
      <c r="E163" s="1" t="s">
        <v>30</v>
      </c>
      <c r="F163" s="1" t="str">
        <f t="shared" si="57"/>
        <v>225</v>
      </c>
      <c r="G163" s="1" t="str">
        <f t="shared" si="58"/>
        <v>50</v>
      </c>
      <c r="H163" s="1" t="str">
        <f t="shared" si="59"/>
        <v>19</v>
      </c>
      <c r="I163" s="1" t="s">
        <v>31</v>
      </c>
      <c r="J163" s="1" t="s">
        <v>32</v>
      </c>
      <c r="K163" s="1" t="s">
        <v>35</v>
      </c>
      <c r="L163" s="1" t="s">
        <v>61</v>
      </c>
      <c r="M163" s="2">
        <v>7</v>
      </c>
      <c r="N163" s="5">
        <v>6000</v>
      </c>
      <c r="O163" s="1">
        <v>200</v>
      </c>
      <c r="P163" s="1">
        <v>64</v>
      </c>
      <c r="Q163" s="1">
        <v>6</v>
      </c>
      <c r="R163" s="3">
        <v>0.99864351648549943</v>
      </c>
      <c r="S163" s="4">
        <v>9.8539577710354667E-2</v>
      </c>
      <c r="T163" s="3">
        <v>0.65402028038401272</v>
      </c>
      <c r="U163" s="9">
        <v>45975</v>
      </c>
    </row>
    <row r="164" spans="1:21">
      <c r="A164" s="1">
        <v>163</v>
      </c>
      <c r="B164" s="1" t="s">
        <v>21</v>
      </c>
      <c r="C164" s="1" t="s">
        <v>22</v>
      </c>
      <c r="D164" s="1" t="s">
        <v>60</v>
      </c>
      <c r="E164" s="1" t="s">
        <v>30</v>
      </c>
      <c r="F164" s="1" t="str">
        <f t="shared" ref="F164:F169" si="60">LEFT(E164,3)</f>
        <v>225</v>
      </c>
      <c r="G164" s="1" t="str">
        <f t="shared" ref="G164:G169" si="61">MID(E164,5,2)</f>
        <v>50</v>
      </c>
      <c r="H164" s="1" t="str">
        <f t="shared" ref="H164:H169" si="62">MID(E164,8,2)</f>
        <v>19</v>
      </c>
      <c r="I164" s="1" t="s">
        <v>31</v>
      </c>
      <c r="J164" s="1" t="s">
        <v>32</v>
      </c>
      <c r="K164" s="1" t="s">
        <v>62</v>
      </c>
      <c r="L164" s="1" t="s">
        <v>63</v>
      </c>
      <c r="M164" s="2">
        <v>7</v>
      </c>
      <c r="N164" s="5">
        <v>6000</v>
      </c>
      <c r="O164" s="1">
        <v>200</v>
      </c>
      <c r="P164" s="1">
        <v>64</v>
      </c>
      <c r="Q164" s="1">
        <v>1</v>
      </c>
      <c r="R164" s="3">
        <v>0.66334573446122025</v>
      </c>
      <c r="S164" s="4">
        <v>0.1205391859349354</v>
      </c>
      <c r="T164" s="3">
        <v>0.37834659533445569</v>
      </c>
      <c r="U164" s="9">
        <v>45975</v>
      </c>
    </row>
    <row r="165" spans="1:21">
      <c r="A165" s="1">
        <v>164</v>
      </c>
      <c r="B165" s="1" t="s">
        <v>21</v>
      </c>
      <c r="C165" s="1" t="s">
        <v>22</v>
      </c>
      <c r="D165" s="1" t="s">
        <v>60</v>
      </c>
      <c r="E165" s="1" t="s">
        <v>30</v>
      </c>
      <c r="F165" s="1" t="str">
        <f t="shared" si="60"/>
        <v>225</v>
      </c>
      <c r="G165" s="1" t="str">
        <f t="shared" si="61"/>
        <v>50</v>
      </c>
      <c r="H165" s="1" t="str">
        <f t="shared" si="62"/>
        <v>19</v>
      </c>
      <c r="I165" s="1" t="s">
        <v>31</v>
      </c>
      <c r="J165" s="1" t="s">
        <v>32</v>
      </c>
      <c r="K165" s="1" t="s">
        <v>62</v>
      </c>
      <c r="L165" s="1" t="s">
        <v>63</v>
      </c>
      <c r="M165" s="2">
        <v>7</v>
      </c>
      <c r="N165" s="5">
        <v>6000</v>
      </c>
      <c r="O165" s="1">
        <v>200</v>
      </c>
      <c r="P165" s="1">
        <v>64</v>
      </c>
      <c r="Q165" s="1">
        <v>2</v>
      </c>
      <c r="R165" s="3">
        <v>0.64455712634593376</v>
      </c>
      <c r="S165" s="4">
        <v>0.11213396593858101</v>
      </c>
      <c r="T165" s="3">
        <v>0.34417298388051532</v>
      </c>
      <c r="U165" s="9">
        <v>45975</v>
      </c>
    </row>
    <row r="166" spans="1:21">
      <c r="A166" s="1">
        <v>165</v>
      </c>
      <c r="B166" s="1" t="s">
        <v>21</v>
      </c>
      <c r="C166" s="1" t="s">
        <v>22</v>
      </c>
      <c r="D166" s="1" t="s">
        <v>60</v>
      </c>
      <c r="E166" s="1" t="s">
        <v>30</v>
      </c>
      <c r="F166" s="1" t="str">
        <f t="shared" si="60"/>
        <v>225</v>
      </c>
      <c r="G166" s="1" t="str">
        <f t="shared" si="61"/>
        <v>50</v>
      </c>
      <c r="H166" s="1" t="str">
        <f t="shared" si="62"/>
        <v>19</v>
      </c>
      <c r="I166" s="1" t="s">
        <v>31</v>
      </c>
      <c r="J166" s="1" t="s">
        <v>32</v>
      </c>
      <c r="K166" s="1" t="s">
        <v>62</v>
      </c>
      <c r="L166" s="1" t="s">
        <v>63</v>
      </c>
      <c r="M166" s="2">
        <v>7</v>
      </c>
      <c r="N166" s="5">
        <v>6000</v>
      </c>
      <c r="O166" s="1">
        <v>200</v>
      </c>
      <c r="P166" s="1">
        <v>64</v>
      </c>
      <c r="Q166" s="1">
        <v>3</v>
      </c>
      <c r="R166" s="3">
        <v>0.64184137355088633</v>
      </c>
      <c r="S166" s="4">
        <v>9.7540807334171309E-2</v>
      </c>
      <c r="T166" s="3">
        <v>0.34544682083388689</v>
      </c>
      <c r="U166" s="9">
        <v>45975</v>
      </c>
    </row>
    <row r="167" spans="1:21">
      <c r="A167" s="1">
        <v>166</v>
      </c>
      <c r="B167" s="1" t="s">
        <v>21</v>
      </c>
      <c r="C167" s="1" t="s">
        <v>22</v>
      </c>
      <c r="D167" s="1" t="s">
        <v>60</v>
      </c>
      <c r="E167" s="1" t="s">
        <v>30</v>
      </c>
      <c r="F167" s="1" t="str">
        <f t="shared" si="60"/>
        <v>225</v>
      </c>
      <c r="G167" s="1" t="str">
        <f t="shared" si="61"/>
        <v>50</v>
      </c>
      <c r="H167" s="1" t="str">
        <f t="shared" si="62"/>
        <v>19</v>
      </c>
      <c r="I167" s="1" t="s">
        <v>31</v>
      </c>
      <c r="J167" s="1" t="s">
        <v>32</v>
      </c>
      <c r="K167" s="1" t="s">
        <v>62</v>
      </c>
      <c r="L167" s="1" t="s">
        <v>63</v>
      </c>
      <c r="M167" s="2">
        <v>7</v>
      </c>
      <c r="N167" s="5">
        <v>6000</v>
      </c>
      <c r="O167" s="1">
        <v>200</v>
      </c>
      <c r="P167" s="1">
        <v>64</v>
      </c>
      <c r="Q167" s="1">
        <v>4</v>
      </c>
      <c r="R167" s="3">
        <v>0.66414002164964192</v>
      </c>
      <c r="S167" s="4">
        <v>0.1514445411897237</v>
      </c>
      <c r="T167" s="3">
        <v>0.33977632519151152</v>
      </c>
      <c r="U167" s="9">
        <v>45975</v>
      </c>
    </row>
    <row r="168" spans="1:21">
      <c r="A168" s="1">
        <v>167</v>
      </c>
      <c r="B168" s="1" t="s">
        <v>21</v>
      </c>
      <c r="C168" s="1" t="s">
        <v>22</v>
      </c>
      <c r="D168" s="1" t="s">
        <v>60</v>
      </c>
      <c r="E168" s="1" t="s">
        <v>30</v>
      </c>
      <c r="F168" s="1" t="str">
        <f t="shared" si="60"/>
        <v>225</v>
      </c>
      <c r="G168" s="1" t="str">
        <f t="shared" si="61"/>
        <v>50</v>
      </c>
      <c r="H168" s="1" t="str">
        <f t="shared" si="62"/>
        <v>19</v>
      </c>
      <c r="I168" s="1" t="s">
        <v>31</v>
      </c>
      <c r="J168" s="1" t="s">
        <v>32</v>
      </c>
      <c r="K168" s="1" t="s">
        <v>62</v>
      </c>
      <c r="L168" s="1" t="s">
        <v>63</v>
      </c>
      <c r="M168" s="2">
        <v>7</v>
      </c>
      <c r="N168" s="5">
        <v>6000</v>
      </c>
      <c r="O168" s="1">
        <v>200</v>
      </c>
      <c r="P168" s="1">
        <v>64</v>
      </c>
      <c r="Q168" s="1">
        <v>5</v>
      </c>
      <c r="R168" s="3">
        <v>0.67858054316803074</v>
      </c>
      <c r="S168" s="4">
        <v>7.2005759931168783E-2</v>
      </c>
      <c r="T168" s="3">
        <v>0.34018766042879489</v>
      </c>
      <c r="U168" s="9">
        <v>45975</v>
      </c>
    </row>
    <row r="169" spans="1:21">
      <c r="A169" s="1">
        <v>168</v>
      </c>
      <c r="B169" s="1" t="s">
        <v>21</v>
      </c>
      <c r="C169" s="1" t="s">
        <v>22</v>
      </c>
      <c r="D169" s="1" t="s">
        <v>60</v>
      </c>
      <c r="E169" s="1" t="s">
        <v>30</v>
      </c>
      <c r="F169" s="1" t="str">
        <f t="shared" si="60"/>
        <v>225</v>
      </c>
      <c r="G169" s="1" t="str">
        <f t="shared" si="61"/>
        <v>50</v>
      </c>
      <c r="H169" s="1" t="str">
        <f t="shared" si="62"/>
        <v>19</v>
      </c>
      <c r="I169" s="1" t="s">
        <v>31</v>
      </c>
      <c r="J169" s="1" t="s">
        <v>32</v>
      </c>
      <c r="K169" s="1" t="s">
        <v>62</v>
      </c>
      <c r="L169" s="1" t="s">
        <v>63</v>
      </c>
      <c r="M169" s="2">
        <v>7</v>
      </c>
      <c r="N169" s="5">
        <v>6000</v>
      </c>
      <c r="O169" s="1">
        <v>200</v>
      </c>
      <c r="P169" s="1">
        <v>64</v>
      </c>
      <c r="Q169" s="1">
        <v>6</v>
      </c>
      <c r="R169" s="3">
        <v>0.65706961406286213</v>
      </c>
      <c r="S169" s="4">
        <v>0.1185224866584844</v>
      </c>
      <c r="T169" s="3">
        <v>0.34642396409224457</v>
      </c>
      <c r="U169" s="9">
        <v>45975</v>
      </c>
    </row>
    <row r="170" spans="1:21">
      <c r="A170" s="1">
        <v>169</v>
      </c>
      <c r="B170" s="1" t="s">
        <v>29</v>
      </c>
      <c r="C170" s="1" t="s">
        <v>22</v>
      </c>
      <c r="D170" s="1" t="s">
        <v>60</v>
      </c>
      <c r="E170" s="1" t="s">
        <v>30</v>
      </c>
      <c r="F170" s="1" t="str">
        <f t="shared" ref="F170:F175" si="63">LEFT(E170,3)</f>
        <v>225</v>
      </c>
      <c r="G170" s="1" t="str">
        <f t="shared" ref="G170:G175" si="64">MID(E170,5,2)</f>
        <v>50</v>
      </c>
      <c r="H170" s="1" t="str">
        <f t="shared" ref="H170:H175" si="65">MID(E170,8,2)</f>
        <v>19</v>
      </c>
      <c r="I170" s="1" t="s">
        <v>31</v>
      </c>
      <c r="J170" s="1" t="s">
        <v>32</v>
      </c>
      <c r="K170" s="1" t="s">
        <v>62</v>
      </c>
      <c r="L170" s="1" t="s">
        <v>63</v>
      </c>
      <c r="M170" s="2">
        <v>7</v>
      </c>
      <c r="N170" s="5">
        <v>6000</v>
      </c>
      <c r="O170" s="1">
        <v>200</v>
      </c>
      <c r="P170" s="1">
        <v>64</v>
      </c>
      <c r="Q170" s="1">
        <v>1</v>
      </c>
      <c r="R170" s="3">
        <v>1.002477014183996</v>
      </c>
      <c r="S170" s="4">
        <v>0.1090542122870239</v>
      </c>
      <c r="T170" s="3">
        <v>0.64431977053245126</v>
      </c>
      <c r="U170" s="9">
        <v>45975</v>
      </c>
    </row>
    <row r="171" spans="1:21">
      <c r="A171" s="1">
        <v>170</v>
      </c>
      <c r="B171" s="1" t="s">
        <v>29</v>
      </c>
      <c r="C171" s="1" t="s">
        <v>22</v>
      </c>
      <c r="D171" s="1" t="s">
        <v>60</v>
      </c>
      <c r="E171" s="1" t="s">
        <v>30</v>
      </c>
      <c r="F171" s="1" t="str">
        <f t="shared" si="63"/>
        <v>225</v>
      </c>
      <c r="G171" s="1" t="str">
        <f t="shared" si="64"/>
        <v>50</v>
      </c>
      <c r="H171" s="1" t="str">
        <f t="shared" si="65"/>
        <v>19</v>
      </c>
      <c r="I171" s="1" t="s">
        <v>31</v>
      </c>
      <c r="J171" s="1" t="s">
        <v>32</v>
      </c>
      <c r="K171" s="1" t="s">
        <v>62</v>
      </c>
      <c r="L171" s="1" t="s">
        <v>63</v>
      </c>
      <c r="M171" s="2">
        <v>7</v>
      </c>
      <c r="N171" s="5">
        <v>6000</v>
      </c>
      <c r="O171" s="1">
        <v>200</v>
      </c>
      <c r="P171" s="1">
        <v>64</v>
      </c>
      <c r="Q171" s="1">
        <v>2</v>
      </c>
      <c r="R171" s="3">
        <v>0.96434377864805931</v>
      </c>
      <c r="S171" s="4">
        <v>0.1043802214950805</v>
      </c>
      <c r="T171" s="3">
        <v>0.62321223846079277</v>
      </c>
      <c r="U171" s="9">
        <v>45975</v>
      </c>
    </row>
    <row r="172" spans="1:21">
      <c r="A172" s="1">
        <v>171</v>
      </c>
      <c r="B172" s="1" t="s">
        <v>29</v>
      </c>
      <c r="C172" s="1" t="s">
        <v>22</v>
      </c>
      <c r="D172" s="1" t="s">
        <v>60</v>
      </c>
      <c r="E172" s="1" t="s">
        <v>30</v>
      </c>
      <c r="F172" s="1" t="str">
        <f t="shared" si="63"/>
        <v>225</v>
      </c>
      <c r="G172" s="1" t="str">
        <f t="shared" si="64"/>
        <v>50</v>
      </c>
      <c r="H172" s="1" t="str">
        <f t="shared" si="65"/>
        <v>19</v>
      </c>
      <c r="I172" s="1" t="s">
        <v>31</v>
      </c>
      <c r="J172" s="1" t="s">
        <v>32</v>
      </c>
      <c r="K172" s="1" t="s">
        <v>62</v>
      </c>
      <c r="L172" s="1" t="s">
        <v>63</v>
      </c>
      <c r="M172" s="2">
        <v>7</v>
      </c>
      <c r="N172" s="5">
        <v>6000</v>
      </c>
      <c r="O172" s="1">
        <v>200</v>
      </c>
      <c r="P172" s="1">
        <v>64</v>
      </c>
      <c r="Q172" s="1">
        <v>3</v>
      </c>
      <c r="R172" s="3">
        <v>1.0027166862888759</v>
      </c>
      <c r="S172" s="4">
        <v>9.9145067610174137E-2</v>
      </c>
      <c r="T172" s="3">
        <v>0.6298675690538359</v>
      </c>
      <c r="U172" s="9">
        <v>45975</v>
      </c>
    </row>
    <row r="173" spans="1:21">
      <c r="A173" s="1">
        <v>172</v>
      </c>
      <c r="B173" s="1" t="s">
        <v>29</v>
      </c>
      <c r="C173" s="1" t="s">
        <v>22</v>
      </c>
      <c r="D173" s="1" t="s">
        <v>60</v>
      </c>
      <c r="E173" s="1" t="s">
        <v>30</v>
      </c>
      <c r="F173" s="1" t="str">
        <f t="shared" si="63"/>
        <v>225</v>
      </c>
      <c r="G173" s="1" t="str">
        <f t="shared" si="64"/>
        <v>50</v>
      </c>
      <c r="H173" s="1" t="str">
        <f t="shared" si="65"/>
        <v>19</v>
      </c>
      <c r="I173" s="1" t="s">
        <v>31</v>
      </c>
      <c r="J173" s="1" t="s">
        <v>32</v>
      </c>
      <c r="K173" s="1" t="s">
        <v>62</v>
      </c>
      <c r="L173" s="1" t="s">
        <v>63</v>
      </c>
      <c r="M173" s="2">
        <v>7</v>
      </c>
      <c r="N173" s="5">
        <v>6000</v>
      </c>
      <c r="O173" s="1">
        <v>200</v>
      </c>
      <c r="P173" s="1">
        <v>64</v>
      </c>
      <c r="Q173" s="1">
        <v>4</v>
      </c>
      <c r="R173" s="3">
        <v>0.97161237393637045</v>
      </c>
      <c r="S173" s="4">
        <v>0.10544367165369981</v>
      </c>
      <c r="T173" s="3">
        <v>0.62377046890287069</v>
      </c>
      <c r="U173" s="9">
        <v>45975</v>
      </c>
    </row>
    <row r="174" spans="1:21">
      <c r="A174" s="1">
        <v>173</v>
      </c>
      <c r="B174" s="1" t="s">
        <v>29</v>
      </c>
      <c r="C174" s="1" t="s">
        <v>22</v>
      </c>
      <c r="D174" s="1" t="s">
        <v>60</v>
      </c>
      <c r="E174" s="1" t="s">
        <v>30</v>
      </c>
      <c r="F174" s="1" t="str">
        <f t="shared" si="63"/>
        <v>225</v>
      </c>
      <c r="G174" s="1" t="str">
        <f t="shared" si="64"/>
        <v>50</v>
      </c>
      <c r="H174" s="1" t="str">
        <f t="shared" si="65"/>
        <v>19</v>
      </c>
      <c r="I174" s="1" t="s">
        <v>31</v>
      </c>
      <c r="J174" s="1" t="s">
        <v>32</v>
      </c>
      <c r="K174" s="1" t="s">
        <v>62</v>
      </c>
      <c r="L174" s="1" t="s">
        <v>63</v>
      </c>
      <c r="M174" s="2">
        <v>7</v>
      </c>
      <c r="N174" s="5">
        <v>6000</v>
      </c>
      <c r="O174" s="1">
        <v>200</v>
      </c>
      <c r="P174" s="1">
        <v>64</v>
      </c>
      <c r="Q174" s="1">
        <v>5</v>
      </c>
      <c r="R174" s="3">
        <v>0.9933146224599716</v>
      </c>
      <c r="S174" s="4">
        <v>8.6531883757398245E-2</v>
      </c>
      <c r="T174" s="3">
        <v>0.62137298790423401</v>
      </c>
      <c r="U174" s="9">
        <v>45975</v>
      </c>
    </row>
    <row r="175" spans="1:21">
      <c r="A175" s="1">
        <v>174</v>
      </c>
      <c r="B175" s="1" t="s">
        <v>29</v>
      </c>
      <c r="C175" s="1" t="s">
        <v>22</v>
      </c>
      <c r="D175" s="1" t="s">
        <v>60</v>
      </c>
      <c r="E175" s="1" t="s">
        <v>30</v>
      </c>
      <c r="F175" s="1" t="str">
        <f t="shared" si="63"/>
        <v>225</v>
      </c>
      <c r="G175" s="1" t="str">
        <f t="shared" si="64"/>
        <v>50</v>
      </c>
      <c r="H175" s="1" t="str">
        <f t="shared" si="65"/>
        <v>19</v>
      </c>
      <c r="I175" s="1" t="s">
        <v>31</v>
      </c>
      <c r="J175" s="1" t="s">
        <v>32</v>
      </c>
      <c r="K175" s="1" t="s">
        <v>62</v>
      </c>
      <c r="L175" s="1" t="s">
        <v>63</v>
      </c>
      <c r="M175" s="2">
        <v>7</v>
      </c>
      <c r="N175" s="5">
        <v>6000</v>
      </c>
      <c r="O175" s="1">
        <v>200</v>
      </c>
      <c r="P175" s="1">
        <v>64</v>
      </c>
      <c r="Q175" s="1">
        <v>6</v>
      </c>
      <c r="R175" s="3">
        <v>1.022906331479025</v>
      </c>
      <c r="S175" s="4">
        <v>0.1310593031004802</v>
      </c>
      <c r="T175" s="3">
        <v>0.63587847751408644</v>
      </c>
      <c r="U175" s="9">
        <v>45975</v>
      </c>
    </row>
    <row r="176" spans="1:21">
      <c r="A176" s="1">
        <v>175</v>
      </c>
      <c r="B176" s="1" t="s">
        <v>21</v>
      </c>
      <c r="C176" s="1" t="s">
        <v>22</v>
      </c>
      <c r="D176" s="1" t="s">
        <v>60</v>
      </c>
      <c r="E176" s="1" t="s">
        <v>30</v>
      </c>
      <c r="F176" s="1" t="str">
        <f t="shared" ref="F176:F181" si="66">LEFT(E176,3)</f>
        <v>225</v>
      </c>
      <c r="G176" s="1" t="str">
        <f t="shared" ref="G176:G181" si="67">MID(E176,5,2)</f>
        <v>50</v>
      </c>
      <c r="H176" s="1" t="str">
        <f t="shared" ref="H176:H181" si="68">MID(E176,8,2)</f>
        <v>19</v>
      </c>
      <c r="I176" s="1" t="s">
        <v>31</v>
      </c>
      <c r="J176" s="1" t="s">
        <v>32</v>
      </c>
      <c r="K176" s="1" t="s">
        <v>64</v>
      </c>
      <c r="L176" s="1" t="s">
        <v>65</v>
      </c>
      <c r="M176" s="2">
        <v>7</v>
      </c>
      <c r="N176" s="5">
        <v>6000</v>
      </c>
      <c r="O176" s="1">
        <v>200</v>
      </c>
      <c r="P176" s="1">
        <v>64</v>
      </c>
      <c r="Q176" s="1">
        <v>1</v>
      </c>
      <c r="R176" s="3">
        <v>0.83245882928146508</v>
      </c>
      <c r="S176" s="4">
        <v>0.10542863235890319</v>
      </c>
      <c r="T176" s="3">
        <v>0.40955356947243049</v>
      </c>
      <c r="U176" s="9">
        <v>45975</v>
      </c>
    </row>
    <row r="177" spans="1:21">
      <c r="A177" s="1">
        <v>176</v>
      </c>
      <c r="B177" s="1" t="s">
        <v>21</v>
      </c>
      <c r="C177" s="1" t="s">
        <v>22</v>
      </c>
      <c r="D177" s="1" t="s">
        <v>60</v>
      </c>
      <c r="E177" s="1" t="s">
        <v>30</v>
      </c>
      <c r="F177" s="1" t="str">
        <f t="shared" si="66"/>
        <v>225</v>
      </c>
      <c r="G177" s="1" t="str">
        <f t="shared" si="67"/>
        <v>50</v>
      </c>
      <c r="H177" s="1" t="str">
        <f t="shared" si="68"/>
        <v>19</v>
      </c>
      <c r="I177" s="1" t="s">
        <v>31</v>
      </c>
      <c r="J177" s="1" t="s">
        <v>32</v>
      </c>
      <c r="K177" s="1" t="s">
        <v>64</v>
      </c>
      <c r="L177" s="1" t="s">
        <v>65</v>
      </c>
      <c r="M177" s="2">
        <v>7</v>
      </c>
      <c r="N177" s="5">
        <v>6000</v>
      </c>
      <c r="O177" s="1">
        <v>200</v>
      </c>
      <c r="P177" s="1">
        <v>64</v>
      </c>
      <c r="Q177" s="1">
        <v>2</v>
      </c>
      <c r="R177" s="3">
        <v>0.8765606640676088</v>
      </c>
      <c r="S177" s="4">
        <v>8.820770255123761E-2</v>
      </c>
      <c r="T177" s="3">
        <v>0.42241445746210149</v>
      </c>
      <c r="U177" s="9">
        <v>45975</v>
      </c>
    </row>
    <row r="178" spans="1:21">
      <c r="A178" s="1">
        <v>177</v>
      </c>
      <c r="B178" s="1" t="s">
        <v>21</v>
      </c>
      <c r="C178" s="1" t="s">
        <v>22</v>
      </c>
      <c r="D178" s="1" t="s">
        <v>60</v>
      </c>
      <c r="E178" s="1" t="s">
        <v>30</v>
      </c>
      <c r="F178" s="1" t="str">
        <f t="shared" si="66"/>
        <v>225</v>
      </c>
      <c r="G178" s="1" t="str">
        <f t="shared" si="67"/>
        <v>50</v>
      </c>
      <c r="H178" s="1" t="str">
        <f t="shared" si="68"/>
        <v>19</v>
      </c>
      <c r="I178" s="1" t="s">
        <v>31</v>
      </c>
      <c r="J178" s="1" t="s">
        <v>32</v>
      </c>
      <c r="K178" s="1" t="s">
        <v>64</v>
      </c>
      <c r="L178" s="1" t="s">
        <v>65</v>
      </c>
      <c r="M178" s="2">
        <v>7</v>
      </c>
      <c r="N178" s="5">
        <v>6000</v>
      </c>
      <c r="O178" s="1">
        <v>200</v>
      </c>
      <c r="P178" s="1">
        <v>64</v>
      </c>
      <c r="Q178" s="1">
        <v>3</v>
      </c>
      <c r="R178" s="3">
        <v>0.86789907164013047</v>
      </c>
      <c r="S178" s="4">
        <v>0.10754475193122021</v>
      </c>
      <c r="T178" s="3">
        <v>0.38983394717162828</v>
      </c>
      <c r="U178" s="9">
        <v>45975</v>
      </c>
    </row>
    <row r="179" spans="1:21">
      <c r="A179" s="1">
        <v>178</v>
      </c>
      <c r="B179" s="1" t="s">
        <v>21</v>
      </c>
      <c r="C179" s="1" t="s">
        <v>22</v>
      </c>
      <c r="D179" s="1" t="s">
        <v>60</v>
      </c>
      <c r="E179" s="1" t="s">
        <v>30</v>
      </c>
      <c r="F179" s="1" t="str">
        <f t="shared" si="66"/>
        <v>225</v>
      </c>
      <c r="G179" s="1" t="str">
        <f t="shared" si="67"/>
        <v>50</v>
      </c>
      <c r="H179" s="1" t="str">
        <f t="shared" si="68"/>
        <v>19</v>
      </c>
      <c r="I179" s="1" t="s">
        <v>31</v>
      </c>
      <c r="J179" s="1" t="s">
        <v>32</v>
      </c>
      <c r="K179" s="1" t="s">
        <v>64</v>
      </c>
      <c r="L179" s="1" t="s">
        <v>65</v>
      </c>
      <c r="M179" s="2">
        <v>7</v>
      </c>
      <c r="N179" s="5">
        <v>6000</v>
      </c>
      <c r="O179" s="1">
        <v>200</v>
      </c>
      <c r="P179" s="1">
        <v>64</v>
      </c>
      <c r="Q179" s="1">
        <v>4</v>
      </c>
      <c r="R179" s="3">
        <v>0.85157368335699668</v>
      </c>
      <c r="S179" s="4">
        <v>0.11666783144354451</v>
      </c>
      <c r="T179" s="3">
        <v>0.38626649096814281</v>
      </c>
      <c r="U179" s="9">
        <v>45975</v>
      </c>
    </row>
    <row r="180" spans="1:21">
      <c r="A180" s="1">
        <v>179</v>
      </c>
      <c r="B180" s="1" t="s">
        <v>21</v>
      </c>
      <c r="C180" s="1" t="s">
        <v>22</v>
      </c>
      <c r="D180" s="1" t="s">
        <v>60</v>
      </c>
      <c r="E180" s="1" t="s">
        <v>30</v>
      </c>
      <c r="F180" s="1" t="str">
        <f t="shared" si="66"/>
        <v>225</v>
      </c>
      <c r="G180" s="1" t="str">
        <f t="shared" si="67"/>
        <v>50</v>
      </c>
      <c r="H180" s="1" t="str">
        <f t="shared" si="68"/>
        <v>19</v>
      </c>
      <c r="I180" s="1" t="s">
        <v>31</v>
      </c>
      <c r="J180" s="1" t="s">
        <v>32</v>
      </c>
      <c r="K180" s="1" t="s">
        <v>64</v>
      </c>
      <c r="L180" s="1" t="s">
        <v>65</v>
      </c>
      <c r="M180" s="2">
        <v>7</v>
      </c>
      <c r="N180" s="5">
        <v>6000</v>
      </c>
      <c r="O180" s="1">
        <v>200</v>
      </c>
      <c r="P180" s="1">
        <v>64</v>
      </c>
      <c r="Q180" s="1">
        <v>5</v>
      </c>
      <c r="R180" s="3">
        <v>0.89267238635825485</v>
      </c>
      <c r="S180" s="4">
        <v>8.4167638165570838E-2</v>
      </c>
      <c r="T180" s="3">
        <v>0.3937990685157472</v>
      </c>
      <c r="U180" s="9">
        <v>45975</v>
      </c>
    </row>
    <row r="181" spans="1:21">
      <c r="A181" s="1">
        <v>180</v>
      </c>
      <c r="B181" s="1" t="s">
        <v>21</v>
      </c>
      <c r="C181" s="1" t="s">
        <v>22</v>
      </c>
      <c r="D181" s="1" t="s">
        <v>60</v>
      </c>
      <c r="E181" s="1" t="s">
        <v>30</v>
      </c>
      <c r="F181" s="1" t="str">
        <f t="shared" si="66"/>
        <v>225</v>
      </c>
      <c r="G181" s="1" t="str">
        <f t="shared" si="67"/>
        <v>50</v>
      </c>
      <c r="H181" s="1" t="str">
        <f t="shared" si="68"/>
        <v>19</v>
      </c>
      <c r="I181" s="1" t="s">
        <v>31</v>
      </c>
      <c r="J181" s="1" t="s">
        <v>32</v>
      </c>
      <c r="K181" s="1" t="s">
        <v>64</v>
      </c>
      <c r="L181" s="1" t="s">
        <v>65</v>
      </c>
      <c r="M181" s="2">
        <v>7</v>
      </c>
      <c r="N181" s="5">
        <v>6000</v>
      </c>
      <c r="O181" s="1">
        <v>200</v>
      </c>
      <c r="P181" s="1">
        <v>64</v>
      </c>
      <c r="Q181" s="1">
        <v>6</v>
      </c>
      <c r="R181" s="3">
        <v>0.82668644033525429</v>
      </c>
      <c r="S181" s="4">
        <v>9.6116511610432415E-2</v>
      </c>
      <c r="T181" s="3">
        <v>0.37909446574377442</v>
      </c>
      <c r="U181" s="9">
        <v>45975</v>
      </c>
    </row>
    <row r="182" spans="1:21">
      <c r="A182" s="1">
        <v>181</v>
      </c>
      <c r="B182" s="1" t="s">
        <v>29</v>
      </c>
      <c r="C182" s="1" t="s">
        <v>22</v>
      </c>
      <c r="D182" s="1" t="s">
        <v>60</v>
      </c>
      <c r="E182" s="1" t="s">
        <v>30</v>
      </c>
      <c r="F182" s="1" t="str">
        <f t="shared" ref="F182:F187" si="69">LEFT(E182,3)</f>
        <v>225</v>
      </c>
      <c r="G182" s="1" t="str">
        <f t="shared" ref="G182:G187" si="70">MID(E182,5,2)</f>
        <v>50</v>
      </c>
      <c r="H182" s="1" t="str">
        <f t="shared" ref="H182:H187" si="71">MID(E182,8,2)</f>
        <v>19</v>
      </c>
      <c r="I182" s="1" t="s">
        <v>31</v>
      </c>
      <c r="J182" s="1" t="s">
        <v>32</v>
      </c>
      <c r="K182" s="1" t="s">
        <v>64</v>
      </c>
      <c r="L182" s="1" t="s">
        <v>65</v>
      </c>
      <c r="M182" s="2">
        <v>7</v>
      </c>
      <c r="N182" s="5">
        <v>6000</v>
      </c>
      <c r="O182" s="1">
        <v>200</v>
      </c>
      <c r="P182" s="1">
        <v>64</v>
      </c>
      <c r="Q182" s="1">
        <v>1</v>
      </c>
      <c r="R182" s="3">
        <v>1.0167587719675699</v>
      </c>
      <c r="S182" s="4">
        <v>0.14999473053281079</v>
      </c>
      <c r="T182" s="3">
        <v>0.64565758409965956</v>
      </c>
      <c r="U182" s="9">
        <v>45975</v>
      </c>
    </row>
    <row r="183" spans="1:21">
      <c r="A183" s="1">
        <v>182</v>
      </c>
      <c r="B183" s="1" t="s">
        <v>29</v>
      </c>
      <c r="C183" s="1" t="s">
        <v>22</v>
      </c>
      <c r="D183" s="1" t="s">
        <v>60</v>
      </c>
      <c r="E183" s="1" t="s">
        <v>30</v>
      </c>
      <c r="F183" s="1" t="str">
        <f t="shared" si="69"/>
        <v>225</v>
      </c>
      <c r="G183" s="1" t="str">
        <f t="shared" si="70"/>
        <v>50</v>
      </c>
      <c r="H183" s="1" t="str">
        <f t="shared" si="71"/>
        <v>19</v>
      </c>
      <c r="I183" s="1" t="s">
        <v>31</v>
      </c>
      <c r="J183" s="1" t="s">
        <v>32</v>
      </c>
      <c r="K183" s="1" t="s">
        <v>64</v>
      </c>
      <c r="L183" s="1" t="s">
        <v>65</v>
      </c>
      <c r="M183" s="2">
        <v>7</v>
      </c>
      <c r="N183" s="5">
        <v>6000</v>
      </c>
      <c r="O183" s="1">
        <v>200</v>
      </c>
      <c r="P183" s="1">
        <v>64</v>
      </c>
      <c r="Q183" s="1">
        <v>2</v>
      </c>
      <c r="R183" s="3">
        <v>1.0284254750624351</v>
      </c>
      <c r="S183" s="4">
        <v>9.6748217894335881E-2</v>
      </c>
      <c r="T183" s="3">
        <v>0.66614666754091323</v>
      </c>
      <c r="U183" s="9">
        <v>45975</v>
      </c>
    </row>
    <row r="184" spans="1:21">
      <c r="A184" s="1">
        <v>183</v>
      </c>
      <c r="B184" s="1" t="s">
        <v>29</v>
      </c>
      <c r="C184" s="1" t="s">
        <v>22</v>
      </c>
      <c r="D184" s="1" t="s">
        <v>60</v>
      </c>
      <c r="E184" s="1" t="s">
        <v>30</v>
      </c>
      <c r="F184" s="1" t="str">
        <f t="shared" si="69"/>
        <v>225</v>
      </c>
      <c r="G184" s="1" t="str">
        <f t="shared" si="70"/>
        <v>50</v>
      </c>
      <c r="H184" s="1" t="str">
        <f t="shared" si="71"/>
        <v>19</v>
      </c>
      <c r="I184" s="1" t="s">
        <v>31</v>
      </c>
      <c r="J184" s="1" t="s">
        <v>32</v>
      </c>
      <c r="K184" s="1" t="s">
        <v>64</v>
      </c>
      <c r="L184" s="1" t="s">
        <v>65</v>
      </c>
      <c r="M184" s="2">
        <v>7</v>
      </c>
      <c r="N184" s="5">
        <v>6000</v>
      </c>
      <c r="O184" s="1">
        <v>200</v>
      </c>
      <c r="P184" s="1">
        <v>64</v>
      </c>
      <c r="Q184" s="1">
        <v>3</v>
      </c>
      <c r="R184" s="3">
        <v>1.070357242255731</v>
      </c>
      <c r="S184" s="4">
        <v>0.15207422532343221</v>
      </c>
      <c r="T184" s="3">
        <v>0.64329680687010582</v>
      </c>
      <c r="U184" s="9">
        <v>45975</v>
      </c>
    </row>
    <row r="185" spans="1:21">
      <c r="A185" s="1">
        <v>184</v>
      </c>
      <c r="B185" s="1" t="s">
        <v>29</v>
      </c>
      <c r="C185" s="1" t="s">
        <v>22</v>
      </c>
      <c r="D185" s="1" t="s">
        <v>60</v>
      </c>
      <c r="E185" s="1" t="s">
        <v>30</v>
      </c>
      <c r="F185" s="1" t="str">
        <f t="shared" si="69"/>
        <v>225</v>
      </c>
      <c r="G185" s="1" t="str">
        <f t="shared" si="70"/>
        <v>50</v>
      </c>
      <c r="H185" s="1" t="str">
        <f t="shared" si="71"/>
        <v>19</v>
      </c>
      <c r="I185" s="1" t="s">
        <v>31</v>
      </c>
      <c r="J185" s="1" t="s">
        <v>32</v>
      </c>
      <c r="K185" s="1" t="s">
        <v>64</v>
      </c>
      <c r="L185" s="1" t="s">
        <v>65</v>
      </c>
      <c r="M185" s="2">
        <v>7</v>
      </c>
      <c r="N185" s="5">
        <v>6000</v>
      </c>
      <c r="O185" s="1">
        <v>200</v>
      </c>
      <c r="P185" s="1">
        <v>64</v>
      </c>
      <c r="Q185" s="1">
        <v>4</v>
      </c>
      <c r="R185" s="3">
        <v>1.043348786135516</v>
      </c>
      <c r="S185" s="4">
        <v>0.12200733733400709</v>
      </c>
      <c r="T185" s="3">
        <v>0.63140371731734901</v>
      </c>
      <c r="U185" s="9">
        <v>45975</v>
      </c>
    </row>
    <row r="186" spans="1:21">
      <c r="A186" s="1">
        <v>185</v>
      </c>
      <c r="B186" s="1" t="s">
        <v>29</v>
      </c>
      <c r="C186" s="1" t="s">
        <v>22</v>
      </c>
      <c r="D186" s="1" t="s">
        <v>60</v>
      </c>
      <c r="E186" s="1" t="s">
        <v>30</v>
      </c>
      <c r="F186" s="1" t="str">
        <f t="shared" si="69"/>
        <v>225</v>
      </c>
      <c r="G186" s="1" t="str">
        <f t="shared" si="70"/>
        <v>50</v>
      </c>
      <c r="H186" s="1" t="str">
        <f t="shared" si="71"/>
        <v>19</v>
      </c>
      <c r="I186" s="1" t="s">
        <v>31</v>
      </c>
      <c r="J186" s="1" t="s">
        <v>32</v>
      </c>
      <c r="K186" s="1" t="s">
        <v>64</v>
      </c>
      <c r="L186" s="1" t="s">
        <v>65</v>
      </c>
      <c r="M186" s="2">
        <v>7</v>
      </c>
      <c r="N186" s="5">
        <v>6000</v>
      </c>
      <c r="O186" s="1">
        <v>200</v>
      </c>
      <c r="P186" s="1">
        <v>64</v>
      </c>
      <c r="Q186" s="1">
        <v>5</v>
      </c>
      <c r="R186" s="3">
        <v>1.0319337380413101</v>
      </c>
      <c r="S186" s="4">
        <v>0.1243733109437255</v>
      </c>
      <c r="T186" s="3">
        <v>0.64183806109184371</v>
      </c>
      <c r="U186" s="9">
        <v>45975</v>
      </c>
    </row>
    <row r="187" spans="1:21">
      <c r="A187" s="1">
        <v>186</v>
      </c>
      <c r="B187" s="1" t="s">
        <v>29</v>
      </c>
      <c r="C187" s="1" t="s">
        <v>22</v>
      </c>
      <c r="D187" s="1" t="s">
        <v>60</v>
      </c>
      <c r="E187" s="1" t="s">
        <v>30</v>
      </c>
      <c r="F187" s="1" t="str">
        <f t="shared" si="69"/>
        <v>225</v>
      </c>
      <c r="G187" s="1" t="str">
        <f t="shared" si="70"/>
        <v>50</v>
      </c>
      <c r="H187" s="1" t="str">
        <f t="shared" si="71"/>
        <v>19</v>
      </c>
      <c r="I187" s="1" t="s">
        <v>31</v>
      </c>
      <c r="J187" s="1" t="s">
        <v>32</v>
      </c>
      <c r="K187" s="1" t="s">
        <v>64</v>
      </c>
      <c r="L187" s="1" t="s">
        <v>65</v>
      </c>
      <c r="M187" s="2">
        <v>7</v>
      </c>
      <c r="N187" s="5">
        <v>6000</v>
      </c>
      <c r="O187" s="1">
        <v>200</v>
      </c>
      <c r="P187" s="1">
        <v>64</v>
      </c>
      <c r="Q187" s="1">
        <v>6</v>
      </c>
      <c r="R187" s="3">
        <v>1.0319950867489609</v>
      </c>
      <c r="S187" s="4">
        <v>0.13264100769122639</v>
      </c>
      <c r="T187" s="3">
        <v>0.65401113193710947</v>
      </c>
      <c r="U187" s="9">
        <v>45975</v>
      </c>
    </row>
    <row r="188" spans="1:21">
      <c r="A188" s="1">
        <v>187</v>
      </c>
      <c r="B188" s="1" t="s">
        <v>21</v>
      </c>
      <c r="C188" s="1" t="s">
        <v>22</v>
      </c>
      <c r="D188" s="1" t="s">
        <v>66</v>
      </c>
      <c r="E188" s="1" t="s">
        <v>24</v>
      </c>
      <c r="F188" s="1" t="str">
        <f t="shared" ref="F188" si="72">LEFT(E188,3)</f>
        <v>225</v>
      </c>
      <c r="G188" s="1" t="str">
        <f t="shared" ref="G188" si="73">MID(E188,5,2)</f>
        <v>50</v>
      </c>
      <c r="H188" s="1" t="str">
        <f t="shared" ref="H188" si="74">MID(E188,8,2)</f>
        <v>18</v>
      </c>
      <c r="I188" s="1" t="s">
        <v>25</v>
      </c>
      <c r="J188" s="1" t="s">
        <v>26</v>
      </c>
      <c r="K188" s="1" t="s">
        <v>27</v>
      </c>
      <c r="L188" s="1" t="s">
        <v>28</v>
      </c>
      <c r="M188" s="2">
        <v>7</v>
      </c>
      <c r="N188" s="5">
        <v>6000</v>
      </c>
      <c r="O188" s="1">
        <v>200</v>
      </c>
      <c r="P188" s="1">
        <v>64</v>
      </c>
      <c r="Q188" s="1">
        <v>1</v>
      </c>
      <c r="R188" s="3">
        <v>0.79055560335803632</v>
      </c>
      <c r="S188" s="4">
        <v>0.14108475890910779</v>
      </c>
      <c r="T188" s="3">
        <v>0.46958469615956461</v>
      </c>
      <c r="U188" s="9">
        <v>45959</v>
      </c>
    </row>
    <row r="189" spans="1:21">
      <c r="A189" s="1">
        <v>188</v>
      </c>
      <c r="B189" s="1" t="s">
        <v>21</v>
      </c>
      <c r="C189" s="1" t="s">
        <v>22</v>
      </c>
      <c r="D189" s="1" t="s">
        <v>66</v>
      </c>
      <c r="E189" s="1" t="s">
        <v>24</v>
      </c>
      <c r="F189" s="1" t="str">
        <f t="shared" ref="F189:F194" si="75">LEFT(E189,3)</f>
        <v>225</v>
      </c>
      <c r="G189" s="1" t="str">
        <f t="shared" ref="G189:G194" si="76">MID(E189,5,2)</f>
        <v>50</v>
      </c>
      <c r="H189" s="1" t="str">
        <f t="shared" ref="H189:H194" si="77">MID(E189,8,2)</f>
        <v>18</v>
      </c>
      <c r="I189" s="1" t="s">
        <v>25</v>
      </c>
      <c r="J189" s="1" t="s">
        <v>26</v>
      </c>
      <c r="K189" s="1" t="s">
        <v>27</v>
      </c>
      <c r="L189" s="1" t="s">
        <v>28</v>
      </c>
      <c r="M189" s="2">
        <v>7</v>
      </c>
      <c r="N189" s="5">
        <v>6000</v>
      </c>
      <c r="O189" s="1">
        <v>200</v>
      </c>
      <c r="P189" s="1">
        <v>64</v>
      </c>
      <c r="Q189" s="1">
        <v>2</v>
      </c>
      <c r="R189" s="3">
        <v>0.80585891442673585</v>
      </c>
      <c r="S189" s="4">
        <v>9.9913755013106439E-2</v>
      </c>
      <c r="T189" s="3">
        <v>0.47370421174255772</v>
      </c>
      <c r="U189" s="9">
        <v>45959</v>
      </c>
    </row>
    <row r="190" spans="1:21">
      <c r="A190" s="1">
        <v>189</v>
      </c>
      <c r="B190" s="1" t="s">
        <v>21</v>
      </c>
      <c r="C190" s="1" t="s">
        <v>22</v>
      </c>
      <c r="D190" s="1" t="s">
        <v>66</v>
      </c>
      <c r="E190" s="1" t="s">
        <v>24</v>
      </c>
      <c r="F190" s="1" t="str">
        <f t="shared" si="75"/>
        <v>225</v>
      </c>
      <c r="G190" s="1" t="str">
        <f t="shared" si="76"/>
        <v>50</v>
      </c>
      <c r="H190" s="1" t="str">
        <f t="shared" si="77"/>
        <v>18</v>
      </c>
      <c r="I190" s="1" t="s">
        <v>25</v>
      </c>
      <c r="J190" s="1" t="s">
        <v>26</v>
      </c>
      <c r="K190" s="1" t="s">
        <v>27</v>
      </c>
      <c r="L190" s="1" t="s">
        <v>28</v>
      </c>
      <c r="M190" s="2">
        <v>7</v>
      </c>
      <c r="N190" s="5">
        <v>6000</v>
      </c>
      <c r="O190" s="1">
        <v>200</v>
      </c>
      <c r="P190" s="1">
        <v>64</v>
      </c>
      <c r="Q190" s="1">
        <v>3</v>
      </c>
      <c r="R190" s="3">
        <v>0.80203651952070065</v>
      </c>
      <c r="S190" s="4">
        <v>0.12661283323112629</v>
      </c>
      <c r="T190" s="3">
        <v>0.4941266166383535</v>
      </c>
      <c r="U190" s="9">
        <v>45959</v>
      </c>
    </row>
    <row r="191" spans="1:21">
      <c r="A191" s="1">
        <v>190</v>
      </c>
      <c r="B191" s="1" t="s">
        <v>21</v>
      </c>
      <c r="C191" s="1" t="s">
        <v>22</v>
      </c>
      <c r="D191" s="1" t="s">
        <v>66</v>
      </c>
      <c r="E191" s="1" t="s">
        <v>24</v>
      </c>
      <c r="F191" s="1" t="str">
        <f t="shared" si="75"/>
        <v>225</v>
      </c>
      <c r="G191" s="1" t="str">
        <f t="shared" si="76"/>
        <v>50</v>
      </c>
      <c r="H191" s="1" t="str">
        <f t="shared" si="77"/>
        <v>18</v>
      </c>
      <c r="I191" s="1" t="s">
        <v>25</v>
      </c>
      <c r="J191" s="1" t="s">
        <v>26</v>
      </c>
      <c r="K191" s="1" t="s">
        <v>27</v>
      </c>
      <c r="L191" s="1" t="s">
        <v>28</v>
      </c>
      <c r="M191" s="2">
        <v>7</v>
      </c>
      <c r="N191" s="5">
        <v>6000</v>
      </c>
      <c r="O191" s="1">
        <v>200</v>
      </c>
      <c r="P191" s="1">
        <v>64</v>
      </c>
      <c r="Q191" s="1">
        <v>4</v>
      </c>
      <c r="R191" s="3">
        <v>0.82345725393357883</v>
      </c>
      <c r="S191" s="4">
        <v>8.1319516305571882E-2</v>
      </c>
      <c r="T191" s="3">
        <v>0.4511245213072903</v>
      </c>
      <c r="U191" s="9">
        <v>45959</v>
      </c>
    </row>
    <row r="192" spans="1:21">
      <c r="A192" s="1">
        <v>191</v>
      </c>
      <c r="B192" s="1" t="s">
        <v>21</v>
      </c>
      <c r="C192" s="1" t="s">
        <v>22</v>
      </c>
      <c r="D192" s="1" t="s">
        <v>66</v>
      </c>
      <c r="E192" s="1" t="s">
        <v>24</v>
      </c>
      <c r="F192" s="1" t="str">
        <f t="shared" si="75"/>
        <v>225</v>
      </c>
      <c r="G192" s="1" t="str">
        <f t="shared" si="76"/>
        <v>50</v>
      </c>
      <c r="H192" s="1" t="str">
        <f t="shared" si="77"/>
        <v>18</v>
      </c>
      <c r="I192" s="1" t="s">
        <v>25</v>
      </c>
      <c r="J192" s="1" t="s">
        <v>26</v>
      </c>
      <c r="K192" s="1" t="s">
        <v>27</v>
      </c>
      <c r="L192" s="1" t="s">
        <v>28</v>
      </c>
      <c r="M192" s="2">
        <v>7</v>
      </c>
      <c r="N192" s="5">
        <v>6000</v>
      </c>
      <c r="O192" s="1">
        <v>200</v>
      </c>
      <c r="P192" s="1">
        <v>64</v>
      </c>
      <c r="Q192" s="1">
        <v>5</v>
      </c>
      <c r="R192" s="3">
        <v>0.777392197545689</v>
      </c>
      <c r="S192" s="4">
        <v>0.13433578848721209</v>
      </c>
      <c r="T192" s="3">
        <v>0.42882649614085988</v>
      </c>
      <c r="U192" s="9">
        <v>45959</v>
      </c>
    </row>
    <row r="193" spans="1:21">
      <c r="A193" s="1">
        <v>192</v>
      </c>
      <c r="B193" s="1" t="s">
        <v>21</v>
      </c>
      <c r="C193" s="1" t="s">
        <v>22</v>
      </c>
      <c r="D193" s="1" t="s">
        <v>66</v>
      </c>
      <c r="E193" s="1" t="s">
        <v>24</v>
      </c>
      <c r="F193" s="1" t="str">
        <f t="shared" si="75"/>
        <v>225</v>
      </c>
      <c r="G193" s="1" t="str">
        <f t="shared" si="76"/>
        <v>50</v>
      </c>
      <c r="H193" s="1" t="str">
        <f t="shared" si="77"/>
        <v>18</v>
      </c>
      <c r="I193" s="1" t="s">
        <v>25</v>
      </c>
      <c r="J193" s="1" t="s">
        <v>26</v>
      </c>
      <c r="K193" s="1" t="s">
        <v>27</v>
      </c>
      <c r="L193" s="1" t="s">
        <v>28</v>
      </c>
      <c r="M193" s="2">
        <v>7</v>
      </c>
      <c r="N193" s="5">
        <v>6000</v>
      </c>
      <c r="O193" s="1">
        <v>200</v>
      </c>
      <c r="P193" s="1">
        <v>64</v>
      </c>
      <c r="Q193" s="1">
        <v>6</v>
      </c>
      <c r="R193" s="3">
        <v>0.76634931946522655</v>
      </c>
      <c r="S193" s="4">
        <v>0.11718067216179399</v>
      </c>
      <c r="T193" s="3">
        <v>0.44568975993009358</v>
      </c>
      <c r="U193" s="9">
        <v>45959</v>
      </c>
    </row>
    <row r="194" spans="1:21">
      <c r="A194" s="1">
        <v>193</v>
      </c>
      <c r="B194" s="1" t="s">
        <v>29</v>
      </c>
      <c r="C194" s="1" t="s">
        <v>22</v>
      </c>
      <c r="D194" s="1" t="s">
        <v>66</v>
      </c>
      <c r="E194" s="1" t="s">
        <v>24</v>
      </c>
      <c r="F194" s="1" t="str">
        <f t="shared" si="75"/>
        <v>225</v>
      </c>
      <c r="G194" s="1" t="str">
        <f t="shared" si="76"/>
        <v>50</v>
      </c>
      <c r="H194" s="1" t="str">
        <f t="shared" si="77"/>
        <v>18</v>
      </c>
      <c r="I194" s="1" t="s">
        <v>25</v>
      </c>
      <c r="J194" s="1" t="s">
        <v>26</v>
      </c>
      <c r="K194" s="1" t="s">
        <v>27</v>
      </c>
      <c r="L194" s="1" t="s">
        <v>28</v>
      </c>
      <c r="M194" s="2">
        <v>7</v>
      </c>
      <c r="N194" s="5">
        <v>6000</v>
      </c>
      <c r="O194" s="1">
        <v>200</v>
      </c>
      <c r="P194" s="1">
        <v>64</v>
      </c>
      <c r="Q194" s="1">
        <v>1</v>
      </c>
      <c r="R194" s="3">
        <v>0.91477196977840602</v>
      </c>
      <c r="S194" s="4">
        <v>0.1618156703592456</v>
      </c>
      <c r="T194" s="3">
        <v>0.76024599862638864</v>
      </c>
      <c r="U194" s="9">
        <v>45959</v>
      </c>
    </row>
    <row r="195" spans="1:21">
      <c r="A195" s="1">
        <v>194</v>
      </c>
      <c r="B195" s="1" t="s">
        <v>29</v>
      </c>
      <c r="C195" s="1" t="s">
        <v>22</v>
      </c>
      <c r="D195" s="1" t="s">
        <v>66</v>
      </c>
      <c r="E195" s="1" t="s">
        <v>24</v>
      </c>
      <c r="F195" s="1" t="str">
        <f t="shared" ref="F195:F199" si="78">LEFT(E195,3)</f>
        <v>225</v>
      </c>
      <c r="G195" s="1" t="str">
        <f t="shared" ref="G195:G199" si="79">MID(E195,5,2)</f>
        <v>50</v>
      </c>
      <c r="H195" s="1" t="str">
        <f t="shared" ref="H195:H199" si="80">MID(E195,8,2)</f>
        <v>18</v>
      </c>
      <c r="I195" s="1" t="s">
        <v>25</v>
      </c>
      <c r="J195" s="1" t="s">
        <v>26</v>
      </c>
      <c r="K195" s="1" t="s">
        <v>27</v>
      </c>
      <c r="L195" s="1" t="s">
        <v>28</v>
      </c>
      <c r="M195" s="2">
        <v>7</v>
      </c>
      <c r="N195" s="5">
        <v>6000</v>
      </c>
      <c r="O195" s="1">
        <v>200</v>
      </c>
      <c r="P195" s="1">
        <v>64</v>
      </c>
      <c r="Q195" s="1">
        <v>2</v>
      </c>
      <c r="R195" s="3">
        <v>0.91421940188100526</v>
      </c>
      <c r="S195" s="4">
        <v>0.13358419268589919</v>
      </c>
      <c r="T195" s="3">
        <v>0.79531529773041332</v>
      </c>
      <c r="U195" s="9">
        <v>45959</v>
      </c>
    </row>
    <row r="196" spans="1:21">
      <c r="A196" s="1">
        <v>195</v>
      </c>
      <c r="B196" s="1" t="s">
        <v>29</v>
      </c>
      <c r="C196" s="1" t="s">
        <v>22</v>
      </c>
      <c r="D196" s="1" t="s">
        <v>66</v>
      </c>
      <c r="E196" s="1" t="s">
        <v>24</v>
      </c>
      <c r="F196" s="1" t="str">
        <f t="shared" si="78"/>
        <v>225</v>
      </c>
      <c r="G196" s="1" t="str">
        <f t="shared" si="79"/>
        <v>50</v>
      </c>
      <c r="H196" s="1" t="str">
        <f t="shared" si="80"/>
        <v>18</v>
      </c>
      <c r="I196" s="1" t="s">
        <v>25</v>
      </c>
      <c r="J196" s="1" t="s">
        <v>26</v>
      </c>
      <c r="K196" s="1" t="s">
        <v>27</v>
      </c>
      <c r="L196" s="1" t="s">
        <v>28</v>
      </c>
      <c r="M196" s="2">
        <v>7</v>
      </c>
      <c r="N196" s="5">
        <v>6000</v>
      </c>
      <c r="O196" s="1">
        <v>200</v>
      </c>
      <c r="P196" s="1">
        <v>64</v>
      </c>
      <c r="Q196" s="1">
        <v>3</v>
      </c>
      <c r="R196" s="3">
        <v>0.93834995445442826</v>
      </c>
      <c r="S196" s="4">
        <v>0.1189666202722101</v>
      </c>
      <c r="T196" s="3">
        <v>0.66358394283858446</v>
      </c>
      <c r="U196" s="9">
        <v>45959</v>
      </c>
    </row>
    <row r="197" spans="1:21">
      <c r="A197" s="1">
        <v>196</v>
      </c>
      <c r="B197" s="1" t="s">
        <v>29</v>
      </c>
      <c r="C197" s="1" t="s">
        <v>22</v>
      </c>
      <c r="D197" s="1" t="s">
        <v>66</v>
      </c>
      <c r="E197" s="1" t="s">
        <v>24</v>
      </c>
      <c r="F197" s="1" t="str">
        <f t="shared" si="78"/>
        <v>225</v>
      </c>
      <c r="G197" s="1" t="str">
        <f t="shared" si="79"/>
        <v>50</v>
      </c>
      <c r="H197" s="1" t="str">
        <f t="shared" si="80"/>
        <v>18</v>
      </c>
      <c r="I197" s="1" t="s">
        <v>25</v>
      </c>
      <c r="J197" s="1" t="s">
        <v>26</v>
      </c>
      <c r="K197" s="1" t="s">
        <v>27</v>
      </c>
      <c r="L197" s="1" t="s">
        <v>28</v>
      </c>
      <c r="M197" s="2">
        <v>7</v>
      </c>
      <c r="N197" s="5">
        <v>6000</v>
      </c>
      <c r="O197" s="1">
        <v>200</v>
      </c>
      <c r="P197" s="1">
        <v>64</v>
      </c>
      <c r="Q197" s="1">
        <v>4</v>
      </c>
      <c r="R197" s="3">
        <v>0.89776241647429234</v>
      </c>
      <c r="S197" s="4">
        <v>0.14989269804909139</v>
      </c>
      <c r="T197" s="3">
        <v>0.71523707073080045</v>
      </c>
      <c r="U197" s="9">
        <v>45959</v>
      </c>
    </row>
    <row r="198" spans="1:21">
      <c r="A198" s="1">
        <v>197</v>
      </c>
      <c r="B198" s="1" t="s">
        <v>29</v>
      </c>
      <c r="C198" s="1" t="s">
        <v>22</v>
      </c>
      <c r="D198" s="1" t="s">
        <v>66</v>
      </c>
      <c r="E198" s="1" t="s">
        <v>24</v>
      </c>
      <c r="F198" s="1" t="str">
        <f t="shared" si="78"/>
        <v>225</v>
      </c>
      <c r="G198" s="1" t="str">
        <f t="shared" si="79"/>
        <v>50</v>
      </c>
      <c r="H198" s="1" t="str">
        <f t="shared" si="80"/>
        <v>18</v>
      </c>
      <c r="I198" s="1" t="s">
        <v>25</v>
      </c>
      <c r="J198" s="1" t="s">
        <v>26</v>
      </c>
      <c r="K198" s="1" t="s">
        <v>27</v>
      </c>
      <c r="L198" s="1" t="s">
        <v>28</v>
      </c>
      <c r="M198" s="2">
        <v>7</v>
      </c>
      <c r="N198" s="5">
        <v>6000</v>
      </c>
      <c r="O198" s="1">
        <v>200</v>
      </c>
      <c r="P198" s="1">
        <v>64</v>
      </c>
      <c r="Q198" s="1">
        <v>5</v>
      </c>
      <c r="R198" s="3">
        <v>0.95098064776926705</v>
      </c>
      <c r="S198" s="4">
        <v>0.12797253429505739</v>
      </c>
      <c r="T198" s="3">
        <v>0.70885242179573049</v>
      </c>
      <c r="U198" s="9">
        <v>45959</v>
      </c>
    </row>
    <row r="199" spans="1:21">
      <c r="A199" s="1">
        <v>198</v>
      </c>
      <c r="B199" s="1" t="s">
        <v>29</v>
      </c>
      <c r="C199" s="1" t="s">
        <v>22</v>
      </c>
      <c r="D199" s="1" t="s">
        <v>66</v>
      </c>
      <c r="E199" s="1" t="s">
        <v>24</v>
      </c>
      <c r="F199" s="1" t="str">
        <f t="shared" si="78"/>
        <v>225</v>
      </c>
      <c r="G199" s="1" t="str">
        <f t="shared" si="79"/>
        <v>50</v>
      </c>
      <c r="H199" s="1" t="str">
        <f t="shared" si="80"/>
        <v>18</v>
      </c>
      <c r="I199" s="1" t="s">
        <v>25</v>
      </c>
      <c r="J199" s="1" t="s">
        <v>26</v>
      </c>
      <c r="K199" s="1" t="s">
        <v>27</v>
      </c>
      <c r="L199" s="1" t="s">
        <v>28</v>
      </c>
      <c r="M199" s="2">
        <v>7</v>
      </c>
      <c r="N199" s="5">
        <v>6000</v>
      </c>
      <c r="O199" s="1">
        <v>200</v>
      </c>
      <c r="P199" s="1">
        <v>64</v>
      </c>
      <c r="Q199" s="1">
        <v>6</v>
      </c>
      <c r="R199" s="3">
        <v>0.96248986511649437</v>
      </c>
      <c r="S199" s="4">
        <v>9.3683518066671551E-2</v>
      </c>
      <c r="T199" s="3">
        <v>0.68040903381136253</v>
      </c>
      <c r="U199" s="9">
        <v>45959</v>
      </c>
    </row>
    <row r="200" spans="1:21">
      <c r="A200" s="1">
        <v>199</v>
      </c>
      <c r="B200" s="1" t="s">
        <v>21</v>
      </c>
      <c r="C200" s="1" t="s">
        <v>22</v>
      </c>
      <c r="D200" s="1" t="s">
        <v>66</v>
      </c>
      <c r="E200" s="1" t="s">
        <v>30</v>
      </c>
      <c r="F200" s="1" t="str">
        <f t="shared" ref="F200:F205" si="81">LEFT(E200,3)</f>
        <v>225</v>
      </c>
      <c r="G200" s="1" t="str">
        <f t="shared" ref="G200:G205" si="82">MID(E200,5,2)</f>
        <v>50</v>
      </c>
      <c r="H200" s="1" t="str">
        <f t="shared" ref="H200:H205" si="83">MID(E200,8,2)</f>
        <v>19</v>
      </c>
      <c r="I200" s="1" t="s">
        <v>31</v>
      </c>
      <c r="J200" s="1" t="s">
        <v>32</v>
      </c>
      <c r="K200" s="1" t="s">
        <v>64</v>
      </c>
      <c r="L200" s="1" t="s">
        <v>67</v>
      </c>
      <c r="M200" s="2">
        <v>7</v>
      </c>
      <c r="N200" s="5">
        <v>6000</v>
      </c>
      <c r="O200" s="1">
        <v>200</v>
      </c>
      <c r="P200" s="1">
        <v>64</v>
      </c>
      <c r="Q200" s="1">
        <v>1</v>
      </c>
      <c r="R200" s="3">
        <v>0.80997357240603995</v>
      </c>
      <c r="S200" s="4">
        <v>0.1209439299691356</v>
      </c>
      <c r="T200" s="3">
        <v>0.42622997329179568</v>
      </c>
      <c r="U200" s="9">
        <v>45959</v>
      </c>
    </row>
    <row r="201" spans="1:21">
      <c r="A201" s="1">
        <v>200</v>
      </c>
      <c r="B201" s="1" t="s">
        <v>21</v>
      </c>
      <c r="C201" s="1" t="s">
        <v>22</v>
      </c>
      <c r="D201" s="1" t="s">
        <v>66</v>
      </c>
      <c r="E201" s="1" t="s">
        <v>30</v>
      </c>
      <c r="F201" s="1" t="str">
        <f t="shared" si="81"/>
        <v>225</v>
      </c>
      <c r="G201" s="1" t="str">
        <f t="shared" si="82"/>
        <v>50</v>
      </c>
      <c r="H201" s="1" t="str">
        <f t="shared" si="83"/>
        <v>19</v>
      </c>
      <c r="I201" s="1" t="s">
        <v>31</v>
      </c>
      <c r="J201" s="1" t="s">
        <v>32</v>
      </c>
      <c r="K201" s="1" t="s">
        <v>64</v>
      </c>
      <c r="L201" s="1" t="s">
        <v>67</v>
      </c>
      <c r="M201" s="2">
        <v>7</v>
      </c>
      <c r="N201" s="5">
        <v>6000</v>
      </c>
      <c r="O201" s="1">
        <v>200</v>
      </c>
      <c r="P201" s="1">
        <v>64</v>
      </c>
      <c r="Q201" s="1">
        <v>2</v>
      </c>
      <c r="R201" s="3">
        <v>0.85010707915093098</v>
      </c>
      <c r="S201" s="4">
        <v>0.10302426275989721</v>
      </c>
      <c r="T201" s="3">
        <v>0.45899164810128812</v>
      </c>
      <c r="U201" s="9">
        <v>45959</v>
      </c>
    </row>
    <row r="202" spans="1:21">
      <c r="A202" s="1">
        <v>201</v>
      </c>
      <c r="B202" s="1" t="s">
        <v>21</v>
      </c>
      <c r="C202" s="1" t="s">
        <v>22</v>
      </c>
      <c r="D202" s="1" t="s">
        <v>66</v>
      </c>
      <c r="E202" s="1" t="s">
        <v>30</v>
      </c>
      <c r="F202" s="1" t="str">
        <f t="shared" si="81"/>
        <v>225</v>
      </c>
      <c r="G202" s="1" t="str">
        <f t="shared" si="82"/>
        <v>50</v>
      </c>
      <c r="H202" s="1" t="str">
        <f t="shared" si="83"/>
        <v>19</v>
      </c>
      <c r="I202" s="1" t="s">
        <v>31</v>
      </c>
      <c r="J202" s="1" t="s">
        <v>32</v>
      </c>
      <c r="K202" s="1" t="s">
        <v>64</v>
      </c>
      <c r="L202" s="1" t="s">
        <v>67</v>
      </c>
      <c r="M202" s="2">
        <v>7</v>
      </c>
      <c r="N202" s="5">
        <v>6000</v>
      </c>
      <c r="O202" s="1">
        <v>200</v>
      </c>
      <c r="P202" s="1">
        <v>64</v>
      </c>
      <c r="Q202" s="1">
        <v>3</v>
      </c>
      <c r="R202" s="3">
        <v>0.83576718511662096</v>
      </c>
      <c r="S202" s="4">
        <v>9.4859832703068442E-2</v>
      </c>
      <c r="T202" s="3">
        <v>0.43221503152120028</v>
      </c>
      <c r="U202" s="9">
        <v>45959</v>
      </c>
    </row>
    <row r="203" spans="1:21">
      <c r="A203" s="1">
        <v>202</v>
      </c>
      <c r="B203" s="1" t="s">
        <v>21</v>
      </c>
      <c r="C203" s="1" t="s">
        <v>22</v>
      </c>
      <c r="D203" s="1" t="s">
        <v>66</v>
      </c>
      <c r="E203" s="1" t="s">
        <v>30</v>
      </c>
      <c r="F203" s="1" t="str">
        <f t="shared" si="81"/>
        <v>225</v>
      </c>
      <c r="G203" s="1" t="str">
        <f t="shared" si="82"/>
        <v>50</v>
      </c>
      <c r="H203" s="1" t="str">
        <f t="shared" si="83"/>
        <v>19</v>
      </c>
      <c r="I203" s="1" t="s">
        <v>31</v>
      </c>
      <c r="J203" s="1" t="s">
        <v>32</v>
      </c>
      <c r="K203" s="1" t="s">
        <v>64</v>
      </c>
      <c r="L203" s="1" t="s">
        <v>67</v>
      </c>
      <c r="M203" s="2">
        <v>7</v>
      </c>
      <c r="N203" s="5">
        <v>6000</v>
      </c>
      <c r="O203" s="1">
        <v>200</v>
      </c>
      <c r="P203" s="1">
        <v>64</v>
      </c>
      <c r="Q203" s="1">
        <v>4</v>
      </c>
      <c r="R203" s="3">
        <v>0.8559555546060329</v>
      </c>
      <c r="S203" s="4">
        <v>0.1013430666952367</v>
      </c>
      <c r="T203" s="3">
        <v>0.46196003957422982</v>
      </c>
      <c r="U203" s="9">
        <v>45959</v>
      </c>
    </row>
    <row r="204" spans="1:21">
      <c r="A204" s="1">
        <v>203</v>
      </c>
      <c r="B204" s="1" t="s">
        <v>21</v>
      </c>
      <c r="C204" s="1" t="s">
        <v>22</v>
      </c>
      <c r="D204" s="1" t="s">
        <v>66</v>
      </c>
      <c r="E204" s="1" t="s">
        <v>30</v>
      </c>
      <c r="F204" s="1" t="str">
        <f t="shared" si="81"/>
        <v>225</v>
      </c>
      <c r="G204" s="1" t="str">
        <f t="shared" si="82"/>
        <v>50</v>
      </c>
      <c r="H204" s="1" t="str">
        <f t="shared" si="83"/>
        <v>19</v>
      </c>
      <c r="I204" s="1" t="s">
        <v>31</v>
      </c>
      <c r="J204" s="1" t="s">
        <v>32</v>
      </c>
      <c r="K204" s="1" t="s">
        <v>64</v>
      </c>
      <c r="L204" s="1" t="s">
        <v>67</v>
      </c>
      <c r="M204" s="2">
        <v>7</v>
      </c>
      <c r="N204" s="5">
        <v>6000</v>
      </c>
      <c r="O204" s="1">
        <v>200</v>
      </c>
      <c r="P204" s="1">
        <v>64</v>
      </c>
      <c r="Q204" s="1">
        <v>5</v>
      </c>
      <c r="R204" s="3">
        <v>0.84549824951800334</v>
      </c>
      <c r="S204" s="4">
        <v>0.10743909764209229</v>
      </c>
      <c r="T204" s="3">
        <v>0.49195278242540469</v>
      </c>
      <c r="U204" s="9">
        <v>45959</v>
      </c>
    </row>
    <row r="205" spans="1:21">
      <c r="A205" s="1">
        <v>204</v>
      </c>
      <c r="B205" s="1" t="s">
        <v>21</v>
      </c>
      <c r="C205" s="1" t="s">
        <v>22</v>
      </c>
      <c r="D205" s="1" t="s">
        <v>66</v>
      </c>
      <c r="E205" s="1" t="s">
        <v>30</v>
      </c>
      <c r="F205" s="1" t="str">
        <f t="shared" si="81"/>
        <v>225</v>
      </c>
      <c r="G205" s="1" t="str">
        <f t="shared" si="82"/>
        <v>50</v>
      </c>
      <c r="H205" s="1" t="str">
        <f t="shared" si="83"/>
        <v>19</v>
      </c>
      <c r="I205" s="1" t="s">
        <v>31</v>
      </c>
      <c r="J205" s="1" t="s">
        <v>32</v>
      </c>
      <c r="K205" s="1" t="s">
        <v>64</v>
      </c>
      <c r="L205" s="1" t="s">
        <v>67</v>
      </c>
      <c r="M205" s="2">
        <v>7</v>
      </c>
      <c r="N205" s="5">
        <v>6000</v>
      </c>
      <c r="O205" s="1">
        <v>200</v>
      </c>
      <c r="P205" s="1">
        <v>64</v>
      </c>
      <c r="Q205" s="1">
        <v>6</v>
      </c>
      <c r="R205" s="3">
        <v>0.83024811415637778</v>
      </c>
      <c r="S205" s="4">
        <v>0.1177932118771451</v>
      </c>
      <c r="T205" s="3">
        <v>0.44318952885314278</v>
      </c>
      <c r="U205" s="9">
        <v>45959</v>
      </c>
    </row>
    <row r="206" spans="1:21">
      <c r="A206" s="1">
        <v>205</v>
      </c>
      <c r="B206" s="1" t="s">
        <v>29</v>
      </c>
      <c r="C206" s="1" t="s">
        <v>22</v>
      </c>
      <c r="D206" s="1" t="s">
        <v>66</v>
      </c>
      <c r="E206" s="1" t="s">
        <v>30</v>
      </c>
      <c r="F206" s="1" t="str">
        <f t="shared" ref="F206:F211" si="84">LEFT(E206,3)</f>
        <v>225</v>
      </c>
      <c r="G206" s="1" t="str">
        <f t="shared" ref="G206:G211" si="85">MID(E206,5,2)</f>
        <v>50</v>
      </c>
      <c r="H206" s="1" t="str">
        <f t="shared" ref="H206:H211" si="86">MID(E206,8,2)</f>
        <v>19</v>
      </c>
      <c r="I206" s="1" t="s">
        <v>31</v>
      </c>
      <c r="J206" s="1" t="s">
        <v>32</v>
      </c>
      <c r="K206" s="1" t="s">
        <v>64</v>
      </c>
      <c r="L206" s="1" t="s">
        <v>67</v>
      </c>
      <c r="M206" s="2">
        <v>7</v>
      </c>
      <c r="N206" s="5">
        <v>6000</v>
      </c>
      <c r="O206" s="1">
        <v>200</v>
      </c>
      <c r="P206" s="1">
        <v>64</v>
      </c>
      <c r="Q206" s="1">
        <v>1</v>
      </c>
      <c r="R206" s="3">
        <v>0.96144926568186528</v>
      </c>
      <c r="S206" s="4">
        <v>9.2830390939492302E-2</v>
      </c>
      <c r="T206" s="3">
        <v>0.66266996834826464</v>
      </c>
      <c r="U206" s="9">
        <v>45959</v>
      </c>
    </row>
    <row r="207" spans="1:21">
      <c r="A207" s="1">
        <v>206</v>
      </c>
      <c r="B207" s="1" t="s">
        <v>29</v>
      </c>
      <c r="C207" s="1" t="s">
        <v>22</v>
      </c>
      <c r="D207" s="1" t="s">
        <v>66</v>
      </c>
      <c r="E207" s="1" t="s">
        <v>30</v>
      </c>
      <c r="F207" s="1" t="str">
        <f t="shared" si="84"/>
        <v>225</v>
      </c>
      <c r="G207" s="1" t="str">
        <f t="shared" si="85"/>
        <v>50</v>
      </c>
      <c r="H207" s="1" t="str">
        <f t="shared" si="86"/>
        <v>19</v>
      </c>
      <c r="I207" s="1" t="s">
        <v>31</v>
      </c>
      <c r="J207" s="1" t="s">
        <v>32</v>
      </c>
      <c r="K207" s="1" t="s">
        <v>64</v>
      </c>
      <c r="L207" s="1" t="s">
        <v>67</v>
      </c>
      <c r="M207" s="2">
        <v>7</v>
      </c>
      <c r="N207" s="5">
        <v>6000</v>
      </c>
      <c r="O207" s="1">
        <v>200</v>
      </c>
      <c r="P207" s="1">
        <v>64</v>
      </c>
      <c r="Q207" s="1">
        <v>2</v>
      </c>
      <c r="R207" s="3">
        <v>0.96867839650588894</v>
      </c>
      <c r="S207" s="4">
        <v>9.8564319669733488E-2</v>
      </c>
      <c r="T207" s="3">
        <v>0.60379986295137</v>
      </c>
      <c r="U207" s="9">
        <v>45959</v>
      </c>
    </row>
    <row r="208" spans="1:21">
      <c r="A208" s="1">
        <v>207</v>
      </c>
      <c r="B208" s="1" t="s">
        <v>29</v>
      </c>
      <c r="C208" s="1" t="s">
        <v>22</v>
      </c>
      <c r="D208" s="1" t="s">
        <v>66</v>
      </c>
      <c r="E208" s="1" t="s">
        <v>30</v>
      </c>
      <c r="F208" s="1" t="str">
        <f t="shared" si="84"/>
        <v>225</v>
      </c>
      <c r="G208" s="1" t="str">
        <f t="shared" si="85"/>
        <v>50</v>
      </c>
      <c r="H208" s="1" t="str">
        <f t="shared" si="86"/>
        <v>19</v>
      </c>
      <c r="I208" s="1" t="s">
        <v>31</v>
      </c>
      <c r="J208" s="1" t="s">
        <v>32</v>
      </c>
      <c r="K208" s="1" t="s">
        <v>64</v>
      </c>
      <c r="L208" s="1" t="s">
        <v>67</v>
      </c>
      <c r="M208" s="2">
        <v>7</v>
      </c>
      <c r="N208" s="5">
        <v>6000</v>
      </c>
      <c r="O208" s="1">
        <v>200</v>
      </c>
      <c r="P208" s="1">
        <v>64</v>
      </c>
      <c r="Q208" s="1">
        <v>3</v>
      </c>
      <c r="R208" s="3">
        <v>0.97241342516165974</v>
      </c>
      <c r="S208" s="4">
        <v>0.1365649202165469</v>
      </c>
      <c r="T208" s="3">
        <v>0.62672452649775978</v>
      </c>
      <c r="U208" s="9">
        <v>45959</v>
      </c>
    </row>
    <row r="209" spans="1:21">
      <c r="A209" s="1">
        <v>208</v>
      </c>
      <c r="B209" s="1" t="s">
        <v>29</v>
      </c>
      <c r="C209" s="1" t="s">
        <v>22</v>
      </c>
      <c r="D209" s="1" t="s">
        <v>66</v>
      </c>
      <c r="E209" s="1" t="s">
        <v>30</v>
      </c>
      <c r="F209" s="1" t="str">
        <f t="shared" si="84"/>
        <v>225</v>
      </c>
      <c r="G209" s="1" t="str">
        <f t="shared" si="85"/>
        <v>50</v>
      </c>
      <c r="H209" s="1" t="str">
        <f t="shared" si="86"/>
        <v>19</v>
      </c>
      <c r="I209" s="1" t="s">
        <v>31</v>
      </c>
      <c r="J209" s="1" t="s">
        <v>32</v>
      </c>
      <c r="K209" s="1" t="s">
        <v>64</v>
      </c>
      <c r="L209" s="1" t="s">
        <v>67</v>
      </c>
      <c r="M209" s="2">
        <v>7</v>
      </c>
      <c r="N209" s="5">
        <v>6000</v>
      </c>
      <c r="O209" s="1">
        <v>200</v>
      </c>
      <c r="P209" s="1">
        <v>64</v>
      </c>
      <c r="Q209" s="1">
        <v>4</v>
      </c>
      <c r="R209" s="3">
        <v>0.97406817611336671</v>
      </c>
      <c r="S209" s="4">
        <v>0.12254410786112779</v>
      </c>
      <c r="T209" s="3">
        <v>0.62088857052228108</v>
      </c>
      <c r="U209" s="9">
        <v>45959</v>
      </c>
    </row>
    <row r="210" spans="1:21">
      <c r="A210" s="1">
        <v>209</v>
      </c>
      <c r="B210" s="1" t="s">
        <v>29</v>
      </c>
      <c r="C210" s="1" t="s">
        <v>22</v>
      </c>
      <c r="D210" s="1" t="s">
        <v>66</v>
      </c>
      <c r="E210" s="1" t="s">
        <v>30</v>
      </c>
      <c r="F210" s="1" t="str">
        <f t="shared" si="84"/>
        <v>225</v>
      </c>
      <c r="G210" s="1" t="str">
        <f t="shared" si="85"/>
        <v>50</v>
      </c>
      <c r="H210" s="1" t="str">
        <f t="shared" si="86"/>
        <v>19</v>
      </c>
      <c r="I210" s="1" t="s">
        <v>31</v>
      </c>
      <c r="J210" s="1" t="s">
        <v>32</v>
      </c>
      <c r="K210" s="1" t="s">
        <v>64</v>
      </c>
      <c r="L210" s="1" t="s">
        <v>67</v>
      </c>
      <c r="M210" s="2">
        <v>7</v>
      </c>
      <c r="N210" s="5">
        <v>6000</v>
      </c>
      <c r="O210" s="1">
        <v>200</v>
      </c>
      <c r="P210" s="1">
        <v>64</v>
      </c>
      <c r="Q210" s="1">
        <v>5</v>
      </c>
      <c r="R210" s="3">
        <v>0.94519888347496472</v>
      </c>
      <c r="S210" s="4">
        <v>0.13898539177337879</v>
      </c>
      <c r="T210" s="3">
        <v>0.61821068222269471</v>
      </c>
      <c r="U210" s="9">
        <v>45959</v>
      </c>
    </row>
    <row r="211" spans="1:21">
      <c r="A211" s="1">
        <v>210</v>
      </c>
      <c r="B211" s="1" t="s">
        <v>29</v>
      </c>
      <c r="C211" s="1" t="s">
        <v>22</v>
      </c>
      <c r="D211" s="1" t="s">
        <v>66</v>
      </c>
      <c r="E211" s="1" t="s">
        <v>30</v>
      </c>
      <c r="F211" s="1" t="str">
        <f t="shared" si="84"/>
        <v>225</v>
      </c>
      <c r="G211" s="1" t="str">
        <f t="shared" si="85"/>
        <v>50</v>
      </c>
      <c r="H211" s="1" t="str">
        <f t="shared" si="86"/>
        <v>19</v>
      </c>
      <c r="I211" s="1" t="s">
        <v>31</v>
      </c>
      <c r="J211" s="1" t="s">
        <v>32</v>
      </c>
      <c r="K211" s="1" t="s">
        <v>64</v>
      </c>
      <c r="L211" s="1" t="s">
        <v>67</v>
      </c>
      <c r="M211" s="2">
        <v>7</v>
      </c>
      <c r="N211" s="5">
        <v>6000</v>
      </c>
      <c r="O211" s="1">
        <v>200</v>
      </c>
      <c r="P211" s="1">
        <v>64</v>
      </c>
      <c r="Q211" s="1">
        <v>6</v>
      </c>
      <c r="R211" s="3">
        <v>0.96122613719312167</v>
      </c>
      <c r="S211" s="4">
        <v>0.1011223045707204</v>
      </c>
      <c r="T211" s="3">
        <v>0.62200543620387427</v>
      </c>
      <c r="U211" s="9">
        <v>45959</v>
      </c>
    </row>
    <row r="212" spans="1:21">
      <c r="A212" s="1">
        <v>211</v>
      </c>
      <c r="B212" s="1" t="s">
        <v>21</v>
      </c>
      <c r="C212" s="1" t="s">
        <v>22</v>
      </c>
      <c r="D212" s="1" t="s">
        <v>66</v>
      </c>
      <c r="E212" s="1" t="s">
        <v>30</v>
      </c>
      <c r="F212" s="1" t="str">
        <f t="shared" ref="F212:F217" si="87">LEFT(E212,3)</f>
        <v>225</v>
      </c>
      <c r="G212" s="1" t="str">
        <f t="shared" ref="G212:G217" si="88">MID(E212,5,2)</f>
        <v>50</v>
      </c>
      <c r="H212" s="1" t="str">
        <f t="shared" ref="H212:H217" si="89">MID(E212,8,2)</f>
        <v>19</v>
      </c>
      <c r="I212" s="1" t="s">
        <v>31</v>
      </c>
      <c r="J212" s="1" t="s">
        <v>32</v>
      </c>
      <c r="K212" s="1" t="s">
        <v>64</v>
      </c>
      <c r="L212" s="1" t="s">
        <v>68</v>
      </c>
      <c r="M212" s="2">
        <v>7</v>
      </c>
      <c r="N212" s="5">
        <v>6000</v>
      </c>
      <c r="O212" s="1">
        <v>200</v>
      </c>
      <c r="P212" s="1">
        <v>64</v>
      </c>
      <c r="Q212" s="1">
        <v>1</v>
      </c>
      <c r="R212" s="3">
        <v>0.82083423200885919</v>
      </c>
      <c r="S212" s="4">
        <v>0.1120674435915676</v>
      </c>
      <c r="T212" s="3">
        <v>0.45295506098568938</v>
      </c>
      <c r="U212" s="9">
        <v>45959</v>
      </c>
    </row>
    <row r="213" spans="1:21">
      <c r="A213" s="1">
        <v>212</v>
      </c>
      <c r="B213" s="1" t="s">
        <v>21</v>
      </c>
      <c r="C213" s="1" t="s">
        <v>22</v>
      </c>
      <c r="D213" s="1" t="s">
        <v>66</v>
      </c>
      <c r="E213" s="1" t="s">
        <v>30</v>
      </c>
      <c r="F213" s="1" t="str">
        <f t="shared" si="87"/>
        <v>225</v>
      </c>
      <c r="G213" s="1" t="str">
        <f t="shared" si="88"/>
        <v>50</v>
      </c>
      <c r="H213" s="1" t="str">
        <f t="shared" si="89"/>
        <v>19</v>
      </c>
      <c r="I213" s="1" t="s">
        <v>31</v>
      </c>
      <c r="J213" s="1" t="s">
        <v>32</v>
      </c>
      <c r="K213" s="1" t="s">
        <v>64</v>
      </c>
      <c r="L213" s="1" t="s">
        <v>68</v>
      </c>
      <c r="M213" s="2">
        <v>7</v>
      </c>
      <c r="N213" s="5">
        <v>6000</v>
      </c>
      <c r="O213" s="1">
        <v>200</v>
      </c>
      <c r="P213" s="1">
        <v>64</v>
      </c>
      <c r="Q213" s="1">
        <v>2</v>
      </c>
      <c r="R213" s="3">
        <v>0.83855585999544291</v>
      </c>
      <c r="S213" s="4">
        <v>0.11176687256089531</v>
      </c>
      <c r="T213" s="3">
        <v>0.47310114698331468</v>
      </c>
      <c r="U213" s="9">
        <v>45959</v>
      </c>
    </row>
    <row r="214" spans="1:21">
      <c r="A214" s="1">
        <v>213</v>
      </c>
      <c r="B214" s="1" t="s">
        <v>21</v>
      </c>
      <c r="C214" s="1" t="s">
        <v>22</v>
      </c>
      <c r="D214" s="1" t="s">
        <v>66</v>
      </c>
      <c r="E214" s="1" t="s">
        <v>30</v>
      </c>
      <c r="F214" s="1" t="str">
        <f t="shared" si="87"/>
        <v>225</v>
      </c>
      <c r="G214" s="1" t="str">
        <f t="shared" si="88"/>
        <v>50</v>
      </c>
      <c r="H214" s="1" t="str">
        <f t="shared" si="89"/>
        <v>19</v>
      </c>
      <c r="I214" s="1" t="s">
        <v>31</v>
      </c>
      <c r="J214" s="1" t="s">
        <v>32</v>
      </c>
      <c r="K214" s="1" t="s">
        <v>64</v>
      </c>
      <c r="L214" s="1" t="s">
        <v>68</v>
      </c>
      <c r="M214" s="2">
        <v>7</v>
      </c>
      <c r="N214" s="5">
        <v>6000</v>
      </c>
      <c r="O214" s="1">
        <v>200</v>
      </c>
      <c r="P214" s="1">
        <v>64</v>
      </c>
      <c r="Q214" s="1">
        <v>3</v>
      </c>
      <c r="R214" s="3">
        <v>0.82369951713127598</v>
      </c>
      <c r="S214" s="4">
        <v>0.14536076948009569</v>
      </c>
      <c r="T214" s="3">
        <v>0.46427830170256718</v>
      </c>
      <c r="U214" s="9">
        <v>45959</v>
      </c>
    </row>
    <row r="215" spans="1:21">
      <c r="A215" s="1">
        <v>214</v>
      </c>
      <c r="B215" s="1" t="s">
        <v>21</v>
      </c>
      <c r="C215" s="1" t="s">
        <v>22</v>
      </c>
      <c r="D215" s="1" t="s">
        <v>66</v>
      </c>
      <c r="E215" s="1" t="s">
        <v>30</v>
      </c>
      <c r="F215" s="1" t="str">
        <f t="shared" si="87"/>
        <v>225</v>
      </c>
      <c r="G215" s="1" t="str">
        <f t="shared" si="88"/>
        <v>50</v>
      </c>
      <c r="H215" s="1" t="str">
        <f t="shared" si="89"/>
        <v>19</v>
      </c>
      <c r="I215" s="1" t="s">
        <v>31</v>
      </c>
      <c r="J215" s="1" t="s">
        <v>32</v>
      </c>
      <c r="K215" s="1" t="s">
        <v>64</v>
      </c>
      <c r="L215" s="1" t="s">
        <v>68</v>
      </c>
      <c r="M215" s="2">
        <v>7</v>
      </c>
      <c r="N215" s="5">
        <v>6000</v>
      </c>
      <c r="O215" s="1">
        <v>200</v>
      </c>
      <c r="P215" s="1">
        <v>64</v>
      </c>
      <c r="Q215" s="1">
        <v>4</v>
      </c>
      <c r="R215" s="3">
        <v>0.82991876462522496</v>
      </c>
      <c r="S215" s="4">
        <v>0.15582604471913511</v>
      </c>
      <c r="T215" s="3">
        <v>0.45323631647020879</v>
      </c>
      <c r="U215" s="9">
        <v>45959</v>
      </c>
    </row>
    <row r="216" spans="1:21">
      <c r="A216" s="1">
        <v>215</v>
      </c>
      <c r="B216" s="1" t="s">
        <v>21</v>
      </c>
      <c r="C216" s="1" t="s">
        <v>22</v>
      </c>
      <c r="D216" s="1" t="s">
        <v>66</v>
      </c>
      <c r="E216" s="1" t="s">
        <v>30</v>
      </c>
      <c r="F216" s="1" t="str">
        <f t="shared" si="87"/>
        <v>225</v>
      </c>
      <c r="G216" s="1" t="str">
        <f t="shared" si="88"/>
        <v>50</v>
      </c>
      <c r="H216" s="1" t="str">
        <f t="shared" si="89"/>
        <v>19</v>
      </c>
      <c r="I216" s="1" t="s">
        <v>31</v>
      </c>
      <c r="J216" s="1" t="s">
        <v>32</v>
      </c>
      <c r="K216" s="1" t="s">
        <v>64</v>
      </c>
      <c r="L216" s="1" t="s">
        <v>68</v>
      </c>
      <c r="M216" s="2">
        <v>7</v>
      </c>
      <c r="N216" s="5">
        <v>6000</v>
      </c>
      <c r="O216" s="1">
        <v>200</v>
      </c>
      <c r="P216" s="1">
        <v>64</v>
      </c>
      <c r="Q216" s="1">
        <v>5</v>
      </c>
      <c r="R216" s="3">
        <v>0.84237153469088566</v>
      </c>
      <c r="S216" s="4">
        <v>9.1978465709096846E-2</v>
      </c>
      <c r="T216" s="3">
        <v>0.4386312710479312</v>
      </c>
      <c r="U216" s="9">
        <v>45959</v>
      </c>
    </row>
    <row r="217" spans="1:21">
      <c r="A217" s="1">
        <v>216</v>
      </c>
      <c r="B217" s="1" t="s">
        <v>21</v>
      </c>
      <c r="C217" s="1" t="s">
        <v>22</v>
      </c>
      <c r="D217" s="1" t="s">
        <v>66</v>
      </c>
      <c r="E217" s="1" t="s">
        <v>30</v>
      </c>
      <c r="F217" s="1" t="str">
        <f t="shared" si="87"/>
        <v>225</v>
      </c>
      <c r="G217" s="1" t="str">
        <f t="shared" si="88"/>
        <v>50</v>
      </c>
      <c r="H217" s="1" t="str">
        <f t="shared" si="89"/>
        <v>19</v>
      </c>
      <c r="I217" s="1" t="s">
        <v>31</v>
      </c>
      <c r="J217" s="1" t="s">
        <v>32</v>
      </c>
      <c r="K217" s="1" t="s">
        <v>64</v>
      </c>
      <c r="L217" s="1" t="s">
        <v>68</v>
      </c>
      <c r="M217" s="2">
        <v>7</v>
      </c>
      <c r="N217" s="5">
        <v>6000</v>
      </c>
      <c r="O217" s="1">
        <v>200</v>
      </c>
      <c r="P217" s="1">
        <v>64</v>
      </c>
      <c r="Q217" s="1">
        <v>6</v>
      </c>
      <c r="R217" s="3">
        <v>0.84881907017816771</v>
      </c>
      <c r="S217" s="4">
        <v>9.9195178566894374E-2</v>
      </c>
      <c r="T217" s="3">
        <v>0.4924627784917549</v>
      </c>
      <c r="U217" s="9">
        <v>45959</v>
      </c>
    </row>
    <row r="218" spans="1:21">
      <c r="A218" s="1">
        <v>217</v>
      </c>
      <c r="B218" s="1" t="s">
        <v>29</v>
      </c>
      <c r="C218" s="1" t="s">
        <v>22</v>
      </c>
      <c r="D218" s="1" t="s">
        <v>66</v>
      </c>
      <c r="E218" s="1" t="s">
        <v>30</v>
      </c>
      <c r="F218" s="1" t="str">
        <f t="shared" ref="F218:F224" si="90">LEFT(E218,3)</f>
        <v>225</v>
      </c>
      <c r="G218" s="1" t="str">
        <f t="shared" ref="G218:G224" si="91">MID(E218,5,2)</f>
        <v>50</v>
      </c>
      <c r="H218" s="1" t="str">
        <f t="shared" ref="H218:H224" si="92">MID(E218,8,2)</f>
        <v>19</v>
      </c>
      <c r="I218" s="1" t="s">
        <v>31</v>
      </c>
      <c r="J218" s="1" t="s">
        <v>32</v>
      </c>
      <c r="K218" s="1" t="s">
        <v>64</v>
      </c>
      <c r="L218" s="1" t="s">
        <v>68</v>
      </c>
      <c r="M218" s="2">
        <v>7</v>
      </c>
      <c r="N218" s="5">
        <v>6000</v>
      </c>
      <c r="O218" s="1">
        <v>200</v>
      </c>
      <c r="P218" s="1">
        <v>64</v>
      </c>
      <c r="Q218" s="1">
        <v>1</v>
      </c>
      <c r="R218" s="3">
        <v>0.95434595475312933</v>
      </c>
      <c r="S218" s="4">
        <v>0.14270300021081109</v>
      </c>
      <c r="T218" s="3">
        <v>0.63023816358883367</v>
      </c>
      <c r="U218" s="9">
        <v>45959</v>
      </c>
    </row>
    <row r="219" spans="1:21">
      <c r="A219" s="1">
        <v>218</v>
      </c>
      <c r="B219" s="1" t="s">
        <v>29</v>
      </c>
      <c r="C219" s="1" t="s">
        <v>22</v>
      </c>
      <c r="D219" s="1" t="s">
        <v>66</v>
      </c>
      <c r="E219" s="1" t="s">
        <v>30</v>
      </c>
      <c r="F219" s="1" t="str">
        <f t="shared" si="90"/>
        <v>225</v>
      </c>
      <c r="G219" s="1" t="str">
        <f t="shared" si="91"/>
        <v>50</v>
      </c>
      <c r="H219" s="1" t="str">
        <f t="shared" si="92"/>
        <v>19</v>
      </c>
      <c r="I219" s="1" t="s">
        <v>31</v>
      </c>
      <c r="J219" s="1" t="s">
        <v>32</v>
      </c>
      <c r="K219" s="1" t="s">
        <v>64</v>
      </c>
      <c r="L219" s="1" t="s">
        <v>68</v>
      </c>
      <c r="M219" s="2">
        <v>7</v>
      </c>
      <c r="N219" s="5">
        <v>6000</v>
      </c>
      <c r="O219" s="1">
        <v>200</v>
      </c>
      <c r="P219" s="1">
        <v>64</v>
      </c>
      <c r="Q219" s="1">
        <v>2</v>
      </c>
      <c r="R219" s="3">
        <v>0.98316238319106408</v>
      </c>
      <c r="S219" s="4">
        <v>0.12889163915564031</v>
      </c>
      <c r="T219" s="3">
        <v>0.64138851352536352</v>
      </c>
      <c r="U219" s="9">
        <v>45959</v>
      </c>
    </row>
    <row r="220" spans="1:21">
      <c r="A220" s="1">
        <v>219</v>
      </c>
      <c r="B220" s="1" t="s">
        <v>29</v>
      </c>
      <c r="C220" s="1" t="s">
        <v>22</v>
      </c>
      <c r="D220" s="1" t="s">
        <v>66</v>
      </c>
      <c r="E220" s="1" t="s">
        <v>30</v>
      </c>
      <c r="F220" s="1" t="str">
        <f t="shared" si="90"/>
        <v>225</v>
      </c>
      <c r="G220" s="1" t="str">
        <f t="shared" si="91"/>
        <v>50</v>
      </c>
      <c r="H220" s="1" t="str">
        <f t="shared" si="92"/>
        <v>19</v>
      </c>
      <c r="I220" s="1" t="s">
        <v>31</v>
      </c>
      <c r="J220" s="1" t="s">
        <v>32</v>
      </c>
      <c r="K220" s="1" t="s">
        <v>64</v>
      </c>
      <c r="L220" s="1" t="s">
        <v>68</v>
      </c>
      <c r="M220" s="2">
        <v>7</v>
      </c>
      <c r="N220" s="5">
        <v>6000</v>
      </c>
      <c r="O220" s="1">
        <v>200</v>
      </c>
      <c r="P220" s="1">
        <v>64</v>
      </c>
      <c r="Q220" s="1">
        <v>3</v>
      </c>
      <c r="R220" s="3">
        <v>0.94673611309304095</v>
      </c>
      <c r="S220" s="4">
        <v>0.13815969107247461</v>
      </c>
      <c r="T220" s="3">
        <v>0.66746555435082866</v>
      </c>
      <c r="U220" s="9">
        <v>45959</v>
      </c>
    </row>
    <row r="221" spans="1:21">
      <c r="A221" s="1">
        <v>220</v>
      </c>
      <c r="B221" s="1" t="s">
        <v>29</v>
      </c>
      <c r="C221" s="1" t="s">
        <v>22</v>
      </c>
      <c r="D221" s="1" t="s">
        <v>66</v>
      </c>
      <c r="E221" s="1" t="s">
        <v>30</v>
      </c>
      <c r="F221" s="1" t="str">
        <f t="shared" si="90"/>
        <v>225</v>
      </c>
      <c r="G221" s="1" t="str">
        <f t="shared" si="91"/>
        <v>50</v>
      </c>
      <c r="H221" s="1" t="str">
        <f t="shared" si="92"/>
        <v>19</v>
      </c>
      <c r="I221" s="1" t="s">
        <v>31</v>
      </c>
      <c r="J221" s="1" t="s">
        <v>32</v>
      </c>
      <c r="K221" s="1" t="s">
        <v>64</v>
      </c>
      <c r="L221" s="1" t="s">
        <v>68</v>
      </c>
      <c r="M221" s="2">
        <v>7</v>
      </c>
      <c r="N221" s="5">
        <v>6000</v>
      </c>
      <c r="O221" s="1">
        <v>200</v>
      </c>
      <c r="P221" s="1">
        <v>64</v>
      </c>
      <c r="Q221" s="1">
        <v>4</v>
      </c>
      <c r="R221" s="3">
        <v>0.97947457130270421</v>
      </c>
      <c r="S221" s="4">
        <v>6.8959858263469148E-2</v>
      </c>
      <c r="T221" s="3">
        <v>0.71120353618662024</v>
      </c>
      <c r="U221" s="9">
        <v>45959</v>
      </c>
    </row>
    <row r="222" spans="1:21">
      <c r="A222" s="1">
        <v>221</v>
      </c>
      <c r="B222" s="1" t="s">
        <v>29</v>
      </c>
      <c r="C222" s="1" t="s">
        <v>22</v>
      </c>
      <c r="D222" s="1" t="s">
        <v>66</v>
      </c>
      <c r="E222" s="1" t="s">
        <v>30</v>
      </c>
      <c r="F222" s="1" t="str">
        <f t="shared" si="90"/>
        <v>225</v>
      </c>
      <c r="G222" s="1" t="str">
        <f t="shared" si="91"/>
        <v>50</v>
      </c>
      <c r="H222" s="1" t="str">
        <f t="shared" si="92"/>
        <v>19</v>
      </c>
      <c r="I222" s="1" t="s">
        <v>31</v>
      </c>
      <c r="J222" s="1" t="s">
        <v>32</v>
      </c>
      <c r="K222" s="1" t="s">
        <v>64</v>
      </c>
      <c r="L222" s="1" t="s">
        <v>68</v>
      </c>
      <c r="M222" s="2">
        <v>7</v>
      </c>
      <c r="N222" s="5">
        <v>6000</v>
      </c>
      <c r="O222" s="1">
        <v>200</v>
      </c>
      <c r="P222" s="1">
        <v>64</v>
      </c>
      <c r="Q222" s="1">
        <v>5</v>
      </c>
      <c r="R222" s="3">
        <v>0.9556417249284106</v>
      </c>
      <c r="S222" s="4">
        <v>0.12994340467387031</v>
      </c>
      <c r="T222" s="3">
        <v>0.66442513290747585</v>
      </c>
      <c r="U222" s="9">
        <v>45959</v>
      </c>
    </row>
    <row r="223" spans="1:21">
      <c r="A223" s="1">
        <v>222</v>
      </c>
      <c r="B223" s="1" t="s">
        <v>29</v>
      </c>
      <c r="C223" s="1" t="s">
        <v>22</v>
      </c>
      <c r="D223" s="1" t="s">
        <v>66</v>
      </c>
      <c r="E223" s="1" t="s">
        <v>30</v>
      </c>
      <c r="F223" s="1" t="str">
        <f t="shared" si="90"/>
        <v>225</v>
      </c>
      <c r="G223" s="1" t="str">
        <f t="shared" si="91"/>
        <v>50</v>
      </c>
      <c r="H223" s="1" t="str">
        <f t="shared" si="92"/>
        <v>19</v>
      </c>
      <c r="I223" s="1" t="s">
        <v>31</v>
      </c>
      <c r="J223" s="1" t="s">
        <v>32</v>
      </c>
      <c r="K223" s="1" t="s">
        <v>64</v>
      </c>
      <c r="L223" s="1" t="s">
        <v>68</v>
      </c>
      <c r="M223" s="2">
        <v>7</v>
      </c>
      <c r="N223" s="5">
        <v>6000</v>
      </c>
      <c r="O223" s="1">
        <v>200</v>
      </c>
      <c r="P223" s="1">
        <v>64</v>
      </c>
      <c r="Q223" s="1">
        <v>6</v>
      </c>
      <c r="R223" s="3">
        <v>0.9823544022166617</v>
      </c>
      <c r="S223" s="4">
        <v>9.6749215559121665E-2</v>
      </c>
      <c r="T223" s="3">
        <v>0.73400321521132383</v>
      </c>
      <c r="U223" s="9">
        <v>45959</v>
      </c>
    </row>
    <row r="224" spans="1:21">
      <c r="A224" s="1">
        <v>223</v>
      </c>
      <c r="B224" s="1" t="s">
        <v>29</v>
      </c>
      <c r="C224" s="1" t="s">
        <v>69</v>
      </c>
      <c r="D224" s="1" t="s">
        <v>70</v>
      </c>
      <c r="E224" s="1" t="s">
        <v>71</v>
      </c>
      <c r="F224" s="1" t="str">
        <f t="shared" si="90"/>
        <v>185</v>
      </c>
      <c r="G224" s="1" t="str">
        <f t="shared" si="91"/>
        <v>65</v>
      </c>
      <c r="H224" s="1" t="str">
        <f t="shared" si="92"/>
        <v>15</v>
      </c>
      <c r="I224" s="1" t="s">
        <v>72</v>
      </c>
      <c r="J224" s="1" t="s">
        <v>73</v>
      </c>
      <c r="K224" s="1" t="s">
        <v>27</v>
      </c>
      <c r="L224" s="1" t="s">
        <v>28</v>
      </c>
      <c r="M224" s="2">
        <v>5.5</v>
      </c>
      <c r="N224" s="5">
        <f>500*9.81</f>
        <v>4905</v>
      </c>
      <c r="O224" s="1">
        <v>230</v>
      </c>
      <c r="P224" s="1">
        <v>80</v>
      </c>
      <c r="Q224" s="1">
        <v>1</v>
      </c>
      <c r="R224" s="3">
        <v>0.90299393602326616</v>
      </c>
      <c r="S224" s="4">
        <v>0.1339638678409317</v>
      </c>
      <c r="T224" s="3">
        <v>0.70967738809653325</v>
      </c>
      <c r="U224" s="9">
        <v>45986</v>
      </c>
    </row>
    <row r="225" spans="1:21">
      <c r="A225" s="1">
        <v>224</v>
      </c>
      <c r="B225" s="1" t="s">
        <v>29</v>
      </c>
      <c r="C225" s="1" t="s">
        <v>69</v>
      </c>
      <c r="D225" s="1" t="s">
        <v>70</v>
      </c>
      <c r="E225" s="1" t="s">
        <v>71</v>
      </c>
      <c r="F225" s="1" t="str">
        <f t="shared" ref="F225:F242" si="93">LEFT(E225,3)</f>
        <v>185</v>
      </c>
      <c r="G225" s="1" t="str">
        <f t="shared" ref="G225:G242" si="94">MID(E225,5,2)</f>
        <v>65</v>
      </c>
      <c r="H225" s="1" t="str">
        <f t="shared" ref="H225:H242" si="95">MID(E225,8,2)</f>
        <v>15</v>
      </c>
      <c r="I225" s="1" t="s">
        <v>72</v>
      </c>
      <c r="J225" s="1" t="s">
        <v>73</v>
      </c>
      <c r="K225" s="1" t="s">
        <v>27</v>
      </c>
      <c r="L225" s="1" t="s">
        <v>28</v>
      </c>
      <c r="M225" s="2">
        <v>5.5</v>
      </c>
      <c r="N225" s="5">
        <f t="shared" ref="N225:N241" si="96">500*9.81</f>
        <v>4905</v>
      </c>
      <c r="O225" s="1">
        <v>230</v>
      </c>
      <c r="P225" s="1">
        <v>80</v>
      </c>
      <c r="Q225" s="1">
        <v>2</v>
      </c>
      <c r="R225" s="3">
        <v>0.91033359204195219</v>
      </c>
      <c r="S225" s="4">
        <v>0.1019330849240998</v>
      </c>
      <c r="T225" s="3">
        <v>0.73957003047325509</v>
      </c>
      <c r="U225" s="9">
        <v>45986</v>
      </c>
    </row>
    <row r="226" spans="1:21">
      <c r="A226" s="1">
        <v>225</v>
      </c>
      <c r="B226" s="1" t="s">
        <v>29</v>
      </c>
      <c r="C226" s="1" t="s">
        <v>69</v>
      </c>
      <c r="D226" s="1" t="s">
        <v>70</v>
      </c>
      <c r="E226" s="1" t="s">
        <v>71</v>
      </c>
      <c r="F226" s="1" t="str">
        <f t="shared" si="93"/>
        <v>185</v>
      </c>
      <c r="G226" s="1" t="str">
        <f t="shared" si="94"/>
        <v>65</v>
      </c>
      <c r="H226" s="1" t="str">
        <f t="shared" si="95"/>
        <v>15</v>
      </c>
      <c r="I226" s="1" t="s">
        <v>72</v>
      </c>
      <c r="J226" s="1" t="s">
        <v>73</v>
      </c>
      <c r="K226" s="1" t="s">
        <v>27</v>
      </c>
      <c r="L226" s="1" t="s">
        <v>28</v>
      </c>
      <c r="M226" s="2">
        <v>5.5</v>
      </c>
      <c r="N226" s="5">
        <f t="shared" si="96"/>
        <v>4905</v>
      </c>
      <c r="O226" s="1">
        <v>230</v>
      </c>
      <c r="P226" s="1">
        <v>80</v>
      </c>
      <c r="Q226" s="1">
        <v>3</v>
      </c>
      <c r="R226" s="3">
        <v>0.9292937998638735</v>
      </c>
      <c r="S226" s="4">
        <v>0.1086693059085196</v>
      </c>
      <c r="T226" s="3">
        <v>0.79346700671352699</v>
      </c>
      <c r="U226" s="9">
        <v>45986</v>
      </c>
    </row>
    <row r="227" spans="1:21">
      <c r="A227" s="1">
        <v>226</v>
      </c>
      <c r="B227" s="1" t="s">
        <v>29</v>
      </c>
      <c r="C227" s="1" t="s">
        <v>69</v>
      </c>
      <c r="D227" s="1" t="s">
        <v>70</v>
      </c>
      <c r="E227" s="1" t="s">
        <v>71</v>
      </c>
      <c r="F227" s="1" t="str">
        <f t="shared" si="93"/>
        <v>185</v>
      </c>
      <c r="G227" s="1" t="str">
        <f t="shared" si="94"/>
        <v>65</v>
      </c>
      <c r="H227" s="1" t="str">
        <f t="shared" si="95"/>
        <v>15</v>
      </c>
      <c r="I227" s="1" t="s">
        <v>72</v>
      </c>
      <c r="J227" s="1" t="s">
        <v>73</v>
      </c>
      <c r="K227" s="1" t="s">
        <v>27</v>
      </c>
      <c r="L227" s="1" t="s">
        <v>28</v>
      </c>
      <c r="M227" s="2">
        <v>5.5</v>
      </c>
      <c r="N227" s="5">
        <f t="shared" si="96"/>
        <v>4905</v>
      </c>
      <c r="O227" s="1">
        <v>230</v>
      </c>
      <c r="P227" s="1">
        <v>80</v>
      </c>
      <c r="Q227" s="1">
        <v>4</v>
      </c>
      <c r="R227" s="3">
        <v>0.88880771468512632</v>
      </c>
      <c r="S227" s="4">
        <v>0.15301166360203389</v>
      </c>
      <c r="T227" s="3">
        <v>0.71359474192101202</v>
      </c>
      <c r="U227" s="9">
        <v>45986</v>
      </c>
    </row>
    <row r="228" spans="1:21">
      <c r="A228" s="1">
        <v>227</v>
      </c>
      <c r="B228" s="1" t="s">
        <v>29</v>
      </c>
      <c r="C228" s="1" t="s">
        <v>69</v>
      </c>
      <c r="D228" s="1" t="s">
        <v>70</v>
      </c>
      <c r="E228" s="1" t="s">
        <v>71</v>
      </c>
      <c r="F228" s="1" t="str">
        <f t="shared" si="93"/>
        <v>185</v>
      </c>
      <c r="G228" s="1" t="str">
        <f t="shared" si="94"/>
        <v>65</v>
      </c>
      <c r="H228" s="1" t="str">
        <f t="shared" si="95"/>
        <v>15</v>
      </c>
      <c r="I228" s="1" t="s">
        <v>72</v>
      </c>
      <c r="J228" s="1" t="s">
        <v>73</v>
      </c>
      <c r="K228" s="1" t="s">
        <v>27</v>
      </c>
      <c r="L228" s="1" t="s">
        <v>28</v>
      </c>
      <c r="M228" s="2">
        <v>5.5</v>
      </c>
      <c r="N228" s="5">
        <f t="shared" si="96"/>
        <v>4905</v>
      </c>
      <c r="O228" s="1">
        <v>230</v>
      </c>
      <c r="P228" s="1">
        <v>80</v>
      </c>
      <c r="Q228" s="1">
        <v>5</v>
      </c>
      <c r="R228" s="3">
        <v>0.90722249389955412</v>
      </c>
      <c r="S228" s="4">
        <v>0.1246438795177976</v>
      </c>
      <c r="T228" s="3">
        <v>0.7389024636594137</v>
      </c>
      <c r="U228" s="9">
        <v>45986</v>
      </c>
    </row>
    <row r="229" spans="1:21">
      <c r="A229" s="1">
        <v>228</v>
      </c>
      <c r="B229" s="1" t="s">
        <v>29</v>
      </c>
      <c r="C229" s="1" t="s">
        <v>69</v>
      </c>
      <c r="D229" s="1" t="s">
        <v>70</v>
      </c>
      <c r="E229" s="1" t="s">
        <v>71</v>
      </c>
      <c r="F229" s="1" t="str">
        <f t="shared" si="93"/>
        <v>185</v>
      </c>
      <c r="G229" s="1" t="str">
        <f t="shared" si="94"/>
        <v>65</v>
      </c>
      <c r="H229" s="1" t="str">
        <f t="shared" si="95"/>
        <v>15</v>
      </c>
      <c r="I229" s="1" t="s">
        <v>72</v>
      </c>
      <c r="J229" s="1" t="s">
        <v>73</v>
      </c>
      <c r="K229" s="1" t="s">
        <v>27</v>
      </c>
      <c r="L229" s="1" t="s">
        <v>28</v>
      </c>
      <c r="M229" s="2">
        <v>5.5</v>
      </c>
      <c r="N229" s="5">
        <f t="shared" si="96"/>
        <v>4905</v>
      </c>
      <c r="O229" s="1">
        <v>230</v>
      </c>
      <c r="P229" s="1">
        <v>80</v>
      </c>
      <c r="Q229" s="1">
        <v>6</v>
      </c>
      <c r="R229" s="3">
        <v>0.88293352270773795</v>
      </c>
      <c r="S229" s="4">
        <v>0.17653300844949149</v>
      </c>
      <c r="T229" s="3">
        <v>0.69327471884628367</v>
      </c>
      <c r="U229" s="9">
        <v>45986</v>
      </c>
    </row>
    <row r="230" spans="1:21">
      <c r="A230" s="1">
        <v>229</v>
      </c>
      <c r="B230" s="1" t="s">
        <v>29</v>
      </c>
      <c r="C230" s="1" t="s">
        <v>69</v>
      </c>
      <c r="D230" s="1" t="s">
        <v>70</v>
      </c>
      <c r="E230" s="1" t="s">
        <v>71</v>
      </c>
      <c r="F230" s="1" t="str">
        <f t="shared" si="93"/>
        <v>185</v>
      </c>
      <c r="G230" s="1" t="str">
        <f t="shared" si="94"/>
        <v>65</v>
      </c>
      <c r="H230" s="1" t="str">
        <f t="shared" si="95"/>
        <v>15</v>
      </c>
      <c r="I230" s="1" t="s">
        <v>31</v>
      </c>
      <c r="J230" s="1" t="s">
        <v>74</v>
      </c>
      <c r="K230" s="1" t="s">
        <v>75</v>
      </c>
      <c r="L230" s="1" t="s">
        <v>76</v>
      </c>
      <c r="M230" s="2">
        <v>5.5</v>
      </c>
      <c r="N230" s="5">
        <f>500*9.81</f>
        <v>4905</v>
      </c>
      <c r="O230" s="1">
        <v>230</v>
      </c>
      <c r="P230" s="1">
        <v>80</v>
      </c>
      <c r="Q230" s="1">
        <v>1</v>
      </c>
      <c r="R230" s="3">
        <v>0.9452997829616423</v>
      </c>
      <c r="S230" s="4">
        <v>0.1224095919733013</v>
      </c>
      <c r="T230" s="3">
        <v>0.56931466850316592</v>
      </c>
      <c r="U230" s="9">
        <v>45986</v>
      </c>
    </row>
    <row r="231" spans="1:21">
      <c r="A231" s="1">
        <v>230</v>
      </c>
      <c r="B231" s="1" t="s">
        <v>29</v>
      </c>
      <c r="C231" s="1" t="s">
        <v>69</v>
      </c>
      <c r="D231" s="1" t="s">
        <v>70</v>
      </c>
      <c r="E231" s="1" t="s">
        <v>71</v>
      </c>
      <c r="F231" s="1" t="str">
        <f t="shared" si="93"/>
        <v>185</v>
      </c>
      <c r="G231" s="1" t="str">
        <f t="shared" si="94"/>
        <v>65</v>
      </c>
      <c r="H231" s="1" t="str">
        <f t="shared" si="95"/>
        <v>15</v>
      </c>
      <c r="I231" s="1" t="s">
        <v>31</v>
      </c>
      <c r="J231" s="1" t="s">
        <v>74</v>
      </c>
      <c r="K231" s="1" t="s">
        <v>75</v>
      </c>
      <c r="L231" s="1" t="s">
        <v>76</v>
      </c>
      <c r="M231" s="2">
        <v>5.5</v>
      </c>
      <c r="N231" s="5">
        <f t="shared" si="96"/>
        <v>4905</v>
      </c>
      <c r="O231" s="1">
        <v>230</v>
      </c>
      <c r="P231" s="1">
        <v>80</v>
      </c>
      <c r="Q231" s="1">
        <v>2</v>
      </c>
      <c r="R231" s="3">
        <v>0.97170804180046633</v>
      </c>
      <c r="S231" s="4">
        <v>9.9989055989340686E-2</v>
      </c>
      <c r="T231" s="3">
        <v>0.64494254034350718</v>
      </c>
      <c r="U231" s="9">
        <v>45986</v>
      </c>
    </row>
    <row r="232" spans="1:21">
      <c r="A232" s="1">
        <v>231</v>
      </c>
      <c r="B232" s="1" t="s">
        <v>29</v>
      </c>
      <c r="C232" s="1" t="s">
        <v>69</v>
      </c>
      <c r="D232" s="1" t="s">
        <v>70</v>
      </c>
      <c r="E232" s="1" t="s">
        <v>71</v>
      </c>
      <c r="F232" s="1" t="str">
        <f t="shared" si="93"/>
        <v>185</v>
      </c>
      <c r="G232" s="1" t="str">
        <f t="shared" si="94"/>
        <v>65</v>
      </c>
      <c r="H232" s="1" t="str">
        <f t="shared" si="95"/>
        <v>15</v>
      </c>
      <c r="I232" s="1" t="s">
        <v>31</v>
      </c>
      <c r="J232" s="1" t="s">
        <v>74</v>
      </c>
      <c r="K232" s="1" t="s">
        <v>75</v>
      </c>
      <c r="L232" s="1" t="s">
        <v>76</v>
      </c>
      <c r="M232" s="2">
        <v>5.5</v>
      </c>
      <c r="N232" s="5">
        <f t="shared" si="96"/>
        <v>4905</v>
      </c>
      <c r="O232" s="1">
        <v>230</v>
      </c>
      <c r="P232" s="1">
        <v>80</v>
      </c>
      <c r="Q232" s="1">
        <v>3</v>
      </c>
      <c r="R232" s="3">
        <v>0.96418974254141843</v>
      </c>
      <c r="S232" s="4">
        <v>0.10835894047995399</v>
      </c>
      <c r="T232" s="3">
        <v>0.58543910328313886</v>
      </c>
      <c r="U232" s="9">
        <v>45986</v>
      </c>
    </row>
    <row r="233" spans="1:21">
      <c r="A233" s="1">
        <v>232</v>
      </c>
      <c r="B233" s="1" t="s">
        <v>29</v>
      </c>
      <c r="C233" s="1" t="s">
        <v>69</v>
      </c>
      <c r="D233" s="1" t="s">
        <v>70</v>
      </c>
      <c r="E233" s="1" t="s">
        <v>71</v>
      </c>
      <c r="F233" s="1" t="str">
        <f t="shared" si="93"/>
        <v>185</v>
      </c>
      <c r="G233" s="1" t="str">
        <f t="shared" si="94"/>
        <v>65</v>
      </c>
      <c r="H233" s="1" t="str">
        <f t="shared" si="95"/>
        <v>15</v>
      </c>
      <c r="I233" s="1" t="s">
        <v>31</v>
      </c>
      <c r="J233" s="1" t="s">
        <v>74</v>
      </c>
      <c r="K233" s="1" t="s">
        <v>75</v>
      </c>
      <c r="L233" s="1" t="s">
        <v>76</v>
      </c>
      <c r="M233" s="2">
        <v>5.5</v>
      </c>
      <c r="N233" s="5">
        <f t="shared" si="96"/>
        <v>4905</v>
      </c>
      <c r="O233" s="1">
        <v>230</v>
      </c>
      <c r="P233" s="1">
        <v>80</v>
      </c>
      <c r="Q233" s="1">
        <v>4</v>
      </c>
      <c r="R233" s="3">
        <v>0.98731957001411641</v>
      </c>
      <c r="S233" s="4">
        <v>0.14144361009485051</v>
      </c>
      <c r="T233" s="3">
        <v>0.62040854740018891</v>
      </c>
      <c r="U233" s="9">
        <v>45986</v>
      </c>
    </row>
    <row r="234" spans="1:21">
      <c r="A234" s="1">
        <v>233</v>
      </c>
      <c r="B234" s="1" t="s">
        <v>29</v>
      </c>
      <c r="C234" s="1" t="s">
        <v>69</v>
      </c>
      <c r="D234" s="1" t="s">
        <v>70</v>
      </c>
      <c r="E234" s="1" t="s">
        <v>71</v>
      </c>
      <c r="F234" s="1" t="str">
        <f t="shared" si="93"/>
        <v>185</v>
      </c>
      <c r="G234" s="1" t="str">
        <f t="shared" si="94"/>
        <v>65</v>
      </c>
      <c r="H234" s="1" t="str">
        <f t="shared" si="95"/>
        <v>15</v>
      </c>
      <c r="I234" s="1" t="s">
        <v>31</v>
      </c>
      <c r="J234" s="1" t="s">
        <v>74</v>
      </c>
      <c r="K234" s="1" t="s">
        <v>75</v>
      </c>
      <c r="L234" s="1" t="s">
        <v>76</v>
      </c>
      <c r="M234" s="2">
        <v>5.5</v>
      </c>
      <c r="N234" s="5">
        <f t="shared" si="96"/>
        <v>4905</v>
      </c>
      <c r="O234" s="1">
        <v>230</v>
      </c>
      <c r="P234" s="1">
        <v>80</v>
      </c>
      <c r="Q234" s="1">
        <v>5</v>
      </c>
      <c r="R234" s="3">
        <v>0.98188478776513688</v>
      </c>
      <c r="S234" s="4">
        <v>0.1156619861781283</v>
      </c>
      <c r="T234" s="3">
        <v>0.60636765758590871</v>
      </c>
      <c r="U234" s="9">
        <v>45986</v>
      </c>
    </row>
    <row r="235" spans="1:21">
      <c r="A235" s="1">
        <v>234</v>
      </c>
      <c r="B235" s="1" t="s">
        <v>29</v>
      </c>
      <c r="C235" s="1" t="s">
        <v>69</v>
      </c>
      <c r="D235" s="1" t="s">
        <v>70</v>
      </c>
      <c r="E235" s="1" t="s">
        <v>71</v>
      </c>
      <c r="F235" s="1" t="str">
        <f t="shared" si="93"/>
        <v>185</v>
      </c>
      <c r="G235" s="1" t="str">
        <f t="shared" si="94"/>
        <v>65</v>
      </c>
      <c r="H235" s="1" t="str">
        <f t="shared" si="95"/>
        <v>15</v>
      </c>
      <c r="I235" s="1" t="s">
        <v>31</v>
      </c>
      <c r="J235" s="1" t="s">
        <v>74</v>
      </c>
      <c r="K235" s="1" t="s">
        <v>75</v>
      </c>
      <c r="L235" s="1" t="s">
        <v>76</v>
      </c>
      <c r="M235" s="2">
        <v>5.5</v>
      </c>
      <c r="N235" s="5">
        <f t="shared" si="96"/>
        <v>4905</v>
      </c>
      <c r="O235" s="1">
        <v>230</v>
      </c>
      <c r="P235" s="1">
        <v>80</v>
      </c>
      <c r="Q235" s="1">
        <v>6</v>
      </c>
      <c r="R235" s="3">
        <v>0.98937460035734293</v>
      </c>
      <c r="S235" s="4">
        <v>0.13479272726546629</v>
      </c>
      <c r="T235" s="3">
        <v>0.60976717201490305</v>
      </c>
      <c r="U235" s="9">
        <v>45986</v>
      </c>
    </row>
    <row r="236" spans="1:21">
      <c r="A236" s="1">
        <v>235</v>
      </c>
      <c r="B236" s="1" t="s">
        <v>29</v>
      </c>
      <c r="C236" s="1" t="s">
        <v>69</v>
      </c>
      <c r="D236" s="1" t="s">
        <v>70</v>
      </c>
      <c r="E236" s="1" t="s">
        <v>71</v>
      </c>
      <c r="F236" s="1" t="str">
        <f t="shared" si="93"/>
        <v>185</v>
      </c>
      <c r="G236" s="1" t="str">
        <f t="shared" si="94"/>
        <v>65</v>
      </c>
      <c r="H236" s="1" t="str">
        <f t="shared" si="95"/>
        <v>15</v>
      </c>
      <c r="I236" s="1" t="s">
        <v>31</v>
      </c>
      <c r="J236" s="1" t="s">
        <v>74</v>
      </c>
      <c r="K236" s="1" t="s">
        <v>75</v>
      </c>
      <c r="L236" s="1" t="s">
        <v>77</v>
      </c>
      <c r="M236" s="2">
        <v>5.5</v>
      </c>
      <c r="N236" s="5">
        <f>500*9.81</f>
        <v>4905</v>
      </c>
      <c r="O236" s="1">
        <v>230</v>
      </c>
      <c r="P236" s="1">
        <v>80</v>
      </c>
      <c r="Q236" s="1">
        <v>1</v>
      </c>
      <c r="R236" s="3">
        <v>0.94776071305226672</v>
      </c>
      <c r="S236" s="4">
        <v>0.12671808891473621</v>
      </c>
      <c r="T236" s="3">
        <v>0.58328924585328523</v>
      </c>
      <c r="U236" s="9">
        <v>45986</v>
      </c>
    </row>
    <row r="237" spans="1:21">
      <c r="A237" s="1">
        <v>236</v>
      </c>
      <c r="B237" s="1" t="s">
        <v>29</v>
      </c>
      <c r="C237" s="1" t="s">
        <v>69</v>
      </c>
      <c r="D237" s="1" t="s">
        <v>70</v>
      </c>
      <c r="E237" s="1" t="s">
        <v>71</v>
      </c>
      <c r="F237" s="1" t="str">
        <f t="shared" si="93"/>
        <v>185</v>
      </c>
      <c r="G237" s="1" t="str">
        <f t="shared" si="94"/>
        <v>65</v>
      </c>
      <c r="H237" s="1" t="str">
        <f t="shared" si="95"/>
        <v>15</v>
      </c>
      <c r="I237" s="1" t="s">
        <v>31</v>
      </c>
      <c r="J237" s="1" t="s">
        <v>74</v>
      </c>
      <c r="K237" s="1" t="s">
        <v>75</v>
      </c>
      <c r="L237" s="1" t="s">
        <v>77</v>
      </c>
      <c r="M237" s="2">
        <v>5.5</v>
      </c>
      <c r="N237" s="5">
        <f t="shared" si="96"/>
        <v>4905</v>
      </c>
      <c r="O237" s="1">
        <v>230</v>
      </c>
      <c r="P237" s="1">
        <v>80</v>
      </c>
      <c r="Q237" s="1">
        <v>2</v>
      </c>
      <c r="R237" s="3">
        <v>0.98861444057426018</v>
      </c>
      <c r="S237" s="4">
        <v>0.122141982077504</v>
      </c>
      <c r="T237" s="3">
        <v>0.63096487907175614</v>
      </c>
      <c r="U237" s="9">
        <v>45986</v>
      </c>
    </row>
    <row r="238" spans="1:21">
      <c r="A238" s="1">
        <v>237</v>
      </c>
      <c r="B238" s="1" t="s">
        <v>29</v>
      </c>
      <c r="C238" s="1" t="s">
        <v>69</v>
      </c>
      <c r="D238" s="1" t="s">
        <v>70</v>
      </c>
      <c r="E238" s="1" t="s">
        <v>71</v>
      </c>
      <c r="F238" s="1" t="str">
        <f t="shared" si="93"/>
        <v>185</v>
      </c>
      <c r="G238" s="1" t="str">
        <f t="shared" si="94"/>
        <v>65</v>
      </c>
      <c r="H238" s="1" t="str">
        <f t="shared" si="95"/>
        <v>15</v>
      </c>
      <c r="I238" s="1" t="s">
        <v>31</v>
      </c>
      <c r="J238" s="1" t="s">
        <v>74</v>
      </c>
      <c r="K238" s="1" t="s">
        <v>75</v>
      </c>
      <c r="L238" s="1" t="s">
        <v>77</v>
      </c>
      <c r="M238" s="2">
        <v>5.5</v>
      </c>
      <c r="N238" s="5">
        <f t="shared" si="96"/>
        <v>4905</v>
      </c>
      <c r="O238" s="1">
        <v>230</v>
      </c>
      <c r="P238" s="1">
        <v>80</v>
      </c>
      <c r="Q238" s="1">
        <v>3</v>
      </c>
      <c r="R238" s="3">
        <v>0.95576779618177743</v>
      </c>
      <c r="S238" s="4">
        <v>0.13795783877223761</v>
      </c>
      <c r="T238" s="3">
        <v>0.59204412797076811</v>
      </c>
      <c r="U238" s="9">
        <v>45986</v>
      </c>
    </row>
    <row r="239" spans="1:21">
      <c r="A239" s="1">
        <v>238</v>
      </c>
      <c r="B239" s="1" t="s">
        <v>29</v>
      </c>
      <c r="C239" s="1" t="s">
        <v>69</v>
      </c>
      <c r="D239" s="1" t="s">
        <v>70</v>
      </c>
      <c r="E239" s="1" t="s">
        <v>71</v>
      </c>
      <c r="F239" s="1" t="str">
        <f t="shared" si="93"/>
        <v>185</v>
      </c>
      <c r="G239" s="1" t="str">
        <f t="shared" si="94"/>
        <v>65</v>
      </c>
      <c r="H239" s="1" t="str">
        <f t="shared" si="95"/>
        <v>15</v>
      </c>
      <c r="I239" s="1" t="s">
        <v>31</v>
      </c>
      <c r="J239" s="1" t="s">
        <v>74</v>
      </c>
      <c r="K239" s="1" t="s">
        <v>75</v>
      </c>
      <c r="L239" s="1" t="s">
        <v>77</v>
      </c>
      <c r="M239" s="2">
        <v>5.5</v>
      </c>
      <c r="N239" s="5">
        <f t="shared" si="96"/>
        <v>4905</v>
      </c>
      <c r="O239" s="1">
        <v>230</v>
      </c>
      <c r="P239" s="1">
        <v>80</v>
      </c>
      <c r="Q239" s="1">
        <v>4</v>
      </c>
      <c r="R239" s="3">
        <v>0.95592917598467864</v>
      </c>
      <c r="S239" s="4">
        <v>0.14346909501424709</v>
      </c>
      <c r="T239" s="3">
        <v>0.61258356062367958</v>
      </c>
      <c r="U239" s="9">
        <v>45986</v>
      </c>
    </row>
    <row r="240" spans="1:21">
      <c r="A240" s="1">
        <v>239</v>
      </c>
      <c r="B240" s="1" t="s">
        <v>29</v>
      </c>
      <c r="C240" s="1" t="s">
        <v>69</v>
      </c>
      <c r="D240" s="1" t="s">
        <v>70</v>
      </c>
      <c r="E240" s="1" t="s">
        <v>71</v>
      </c>
      <c r="F240" s="1" t="str">
        <f t="shared" si="93"/>
        <v>185</v>
      </c>
      <c r="G240" s="1" t="str">
        <f t="shared" si="94"/>
        <v>65</v>
      </c>
      <c r="H240" s="1" t="str">
        <f t="shared" si="95"/>
        <v>15</v>
      </c>
      <c r="I240" s="1" t="s">
        <v>31</v>
      </c>
      <c r="J240" s="1" t="s">
        <v>74</v>
      </c>
      <c r="K240" s="1" t="s">
        <v>75</v>
      </c>
      <c r="L240" s="1" t="s">
        <v>77</v>
      </c>
      <c r="M240" s="2">
        <v>5.5</v>
      </c>
      <c r="N240" s="5">
        <f t="shared" si="96"/>
        <v>4905</v>
      </c>
      <c r="O240" s="1">
        <v>230</v>
      </c>
      <c r="P240" s="1">
        <v>80</v>
      </c>
      <c r="Q240" s="1">
        <v>5</v>
      </c>
      <c r="R240" s="3">
        <v>0.97965650267021576</v>
      </c>
      <c r="S240" s="4">
        <v>9.4590079577305267E-2</v>
      </c>
      <c r="T240" s="3">
        <v>0.60971727402754383</v>
      </c>
      <c r="U240" s="9">
        <v>45986</v>
      </c>
    </row>
    <row r="241" spans="1:21">
      <c r="A241" s="1">
        <v>240</v>
      </c>
      <c r="B241" s="1" t="s">
        <v>29</v>
      </c>
      <c r="C241" s="1" t="s">
        <v>69</v>
      </c>
      <c r="D241" s="1" t="s">
        <v>70</v>
      </c>
      <c r="E241" s="1" t="s">
        <v>71</v>
      </c>
      <c r="F241" s="1" t="str">
        <f t="shared" si="93"/>
        <v>185</v>
      </c>
      <c r="G241" s="1" t="str">
        <f t="shared" si="94"/>
        <v>65</v>
      </c>
      <c r="H241" s="1" t="str">
        <f t="shared" si="95"/>
        <v>15</v>
      </c>
      <c r="I241" s="1" t="s">
        <v>31</v>
      </c>
      <c r="J241" s="1" t="s">
        <v>74</v>
      </c>
      <c r="K241" s="1" t="s">
        <v>75</v>
      </c>
      <c r="L241" s="1" t="s">
        <v>77</v>
      </c>
      <c r="M241" s="2">
        <v>5.5</v>
      </c>
      <c r="N241" s="5">
        <f t="shared" si="96"/>
        <v>4905</v>
      </c>
      <c r="O241" s="1">
        <v>230</v>
      </c>
      <c r="P241" s="1">
        <v>80</v>
      </c>
      <c r="Q241" s="1">
        <v>6</v>
      </c>
      <c r="R241" s="3">
        <v>0.96770008135632823</v>
      </c>
      <c r="S241" s="4">
        <v>0.14499341196668719</v>
      </c>
      <c r="T241" s="3">
        <v>0.6064978522640776</v>
      </c>
      <c r="U241" s="9">
        <v>45986</v>
      </c>
    </row>
    <row r="242" spans="1:21">
      <c r="A242" s="1">
        <v>241</v>
      </c>
      <c r="B242" s="1" t="s">
        <v>29</v>
      </c>
      <c r="C242" s="1" t="s">
        <v>69</v>
      </c>
      <c r="D242" s="1" t="s">
        <v>78</v>
      </c>
      <c r="E242" s="1" t="s">
        <v>79</v>
      </c>
      <c r="F242" s="1" t="str">
        <f t="shared" si="93"/>
        <v>215</v>
      </c>
      <c r="G242" s="1" t="str">
        <f t="shared" si="94"/>
        <v>55</v>
      </c>
      <c r="H242" s="1" t="str">
        <f t="shared" si="95"/>
        <v>17</v>
      </c>
      <c r="I242" s="1" t="s">
        <v>80</v>
      </c>
      <c r="J242" s="1" t="s">
        <v>81</v>
      </c>
      <c r="K242" s="1" t="s">
        <v>27</v>
      </c>
      <c r="L242" s="1" t="s">
        <v>28</v>
      </c>
      <c r="M242" s="2">
        <v>6.5</v>
      </c>
      <c r="N242" s="5">
        <f>515*9.81</f>
        <v>5052.1500000000005</v>
      </c>
      <c r="O242" s="1">
        <v>230</v>
      </c>
      <c r="P242" s="1">
        <v>80</v>
      </c>
      <c r="Q242" s="1">
        <v>1</v>
      </c>
      <c r="R242" s="3">
        <v>0.93723514496594829</v>
      </c>
      <c r="S242" s="4">
        <v>0.1244447780775006</v>
      </c>
      <c r="T242" s="3">
        <v>0.60452466870920263</v>
      </c>
      <c r="U242" s="9">
        <v>45972</v>
      </c>
    </row>
    <row r="243" spans="1:21">
      <c r="A243" s="1">
        <v>242</v>
      </c>
      <c r="B243" s="1" t="s">
        <v>29</v>
      </c>
      <c r="C243" s="1" t="s">
        <v>69</v>
      </c>
      <c r="D243" s="1" t="s">
        <v>78</v>
      </c>
      <c r="E243" s="1" t="s">
        <v>79</v>
      </c>
      <c r="F243" s="1" t="str">
        <f t="shared" ref="F243:F247" si="97">LEFT(E243,3)</f>
        <v>215</v>
      </c>
      <c r="G243" s="1" t="str">
        <f t="shared" ref="G243:G247" si="98">MID(E243,5,2)</f>
        <v>55</v>
      </c>
      <c r="H243" s="1" t="str">
        <f t="shared" ref="H243:H247" si="99">MID(E243,8,2)</f>
        <v>17</v>
      </c>
      <c r="I243" s="1" t="s">
        <v>80</v>
      </c>
      <c r="J243" s="1" t="s">
        <v>81</v>
      </c>
      <c r="K243" s="1" t="s">
        <v>27</v>
      </c>
      <c r="L243" s="1" t="s">
        <v>28</v>
      </c>
      <c r="M243" s="2">
        <v>6.5</v>
      </c>
      <c r="N243" s="5">
        <f t="shared" ref="N243:N277" si="100">515*9.81</f>
        <v>5052.1500000000005</v>
      </c>
      <c r="O243" s="1">
        <v>230</v>
      </c>
      <c r="P243" s="1">
        <v>80</v>
      </c>
      <c r="Q243" s="1">
        <v>2</v>
      </c>
      <c r="R243" s="3">
        <v>0.91602713705833205</v>
      </c>
      <c r="S243" s="4">
        <v>6.2326723452764021E-2</v>
      </c>
      <c r="T243" s="3">
        <v>0.61457137571466292</v>
      </c>
      <c r="U243" s="9">
        <v>45972</v>
      </c>
    </row>
    <row r="244" spans="1:21">
      <c r="A244" s="1">
        <v>243</v>
      </c>
      <c r="B244" s="1" t="s">
        <v>29</v>
      </c>
      <c r="C244" s="1" t="s">
        <v>69</v>
      </c>
      <c r="D244" s="1" t="s">
        <v>78</v>
      </c>
      <c r="E244" s="1" t="s">
        <v>79</v>
      </c>
      <c r="F244" s="1" t="str">
        <f t="shared" si="97"/>
        <v>215</v>
      </c>
      <c r="G244" s="1" t="str">
        <f t="shared" si="98"/>
        <v>55</v>
      </c>
      <c r="H244" s="1" t="str">
        <f t="shared" si="99"/>
        <v>17</v>
      </c>
      <c r="I244" s="1" t="s">
        <v>80</v>
      </c>
      <c r="J244" s="1" t="s">
        <v>81</v>
      </c>
      <c r="K244" s="1" t="s">
        <v>27</v>
      </c>
      <c r="L244" s="1" t="s">
        <v>28</v>
      </c>
      <c r="M244" s="2">
        <v>6.5</v>
      </c>
      <c r="N244" s="5">
        <f t="shared" si="100"/>
        <v>5052.1500000000005</v>
      </c>
      <c r="O244" s="1">
        <v>230</v>
      </c>
      <c r="P244" s="1">
        <v>80</v>
      </c>
      <c r="Q244" s="1">
        <v>3</v>
      </c>
      <c r="R244" s="3">
        <v>0.95176339813722532</v>
      </c>
      <c r="S244" s="4">
        <v>0.1390459690120017</v>
      </c>
      <c r="T244" s="3">
        <v>0.64090255494285286</v>
      </c>
      <c r="U244" s="9">
        <v>45972</v>
      </c>
    </row>
    <row r="245" spans="1:21">
      <c r="A245" s="1">
        <v>244</v>
      </c>
      <c r="B245" s="1" t="s">
        <v>29</v>
      </c>
      <c r="C245" s="1" t="s">
        <v>69</v>
      </c>
      <c r="D245" s="1" t="s">
        <v>78</v>
      </c>
      <c r="E245" s="1" t="s">
        <v>79</v>
      </c>
      <c r="F245" s="1" t="str">
        <f t="shared" si="97"/>
        <v>215</v>
      </c>
      <c r="G245" s="1" t="str">
        <f t="shared" si="98"/>
        <v>55</v>
      </c>
      <c r="H245" s="1" t="str">
        <f t="shared" si="99"/>
        <v>17</v>
      </c>
      <c r="I245" s="1" t="s">
        <v>80</v>
      </c>
      <c r="J245" s="1" t="s">
        <v>81</v>
      </c>
      <c r="K245" s="1" t="s">
        <v>27</v>
      </c>
      <c r="L245" s="1" t="s">
        <v>28</v>
      </c>
      <c r="M245" s="2">
        <v>6.5</v>
      </c>
      <c r="N245" s="5">
        <f t="shared" si="100"/>
        <v>5052.1500000000005</v>
      </c>
      <c r="O245" s="1">
        <v>230</v>
      </c>
      <c r="P245" s="1">
        <v>80</v>
      </c>
      <c r="Q245" s="1">
        <v>4</v>
      </c>
      <c r="R245" s="3">
        <v>1.007025746502481</v>
      </c>
      <c r="S245" s="4">
        <v>0.10337699947606251</v>
      </c>
      <c r="T245" s="3">
        <v>0.63179370920250455</v>
      </c>
      <c r="U245" s="9">
        <v>45972</v>
      </c>
    </row>
    <row r="246" spans="1:21">
      <c r="A246" s="1">
        <v>245</v>
      </c>
      <c r="B246" s="1" t="s">
        <v>29</v>
      </c>
      <c r="C246" s="1" t="s">
        <v>69</v>
      </c>
      <c r="D246" s="1" t="s">
        <v>78</v>
      </c>
      <c r="E246" s="1" t="s">
        <v>79</v>
      </c>
      <c r="F246" s="1" t="str">
        <f t="shared" si="97"/>
        <v>215</v>
      </c>
      <c r="G246" s="1" t="str">
        <f t="shared" si="98"/>
        <v>55</v>
      </c>
      <c r="H246" s="1" t="str">
        <f t="shared" si="99"/>
        <v>17</v>
      </c>
      <c r="I246" s="1" t="s">
        <v>80</v>
      </c>
      <c r="J246" s="1" t="s">
        <v>81</v>
      </c>
      <c r="K246" s="1" t="s">
        <v>27</v>
      </c>
      <c r="L246" s="1" t="s">
        <v>28</v>
      </c>
      <c r="M246" s="2">
        <v>6.5</v>
      </c>
      <c r="N246" s="5">
        <f t="shared" si="100"/>
        <v>5052.1500000000005</v>
      </c>
      <c r="O246" s="1">
        <v>230</v>
      </c>
      <c r="P246" s="1">
        <v>80</v>
      </c>
      <c r="Q246" s="1">
        <v>5</v>
      </c>
      <c r="R246" s="3">
        <v>0.95912675023134475</v>
      </c>
      <c r="S246" s="4">
        <v>0.1109802182843013</v>
      </c>
      <c r="T246" s="3">
        <v>0.61782880762126369</v>
      </c>
      <c r="U246" s="9">
        <v>45972</v>
      </c>
    </row>
    <row r="247" spans="1:21">
      <c r="A247" s="1">
        <v>246</v>
      </c>
      <c r="B247" s="1" t="s">
        <v>29</v>
      </c>
      <c r="C247" s="1" t="s">
        <v>69</v>
      </c>
      <c r="D247" s="1" t="s">
        <v>78</v>
      </c>
      <c r="E247" s="1" t="s">
        <v>79</v>
      </c>
      <c r="F247" s="1" t="str">
        <f t="shared" si="97"/>
        <v>215</v>
      </c>
      <c r="G247" s="1" t="str">
        <f t="shared" si="98"/>
        <v>55</v>
      </c>
      <c r="H247" s="1" t="str">
        <f t="shared" si="99"/>
        <v>17</v>
      </c>
      <c r="I247" s="1" t="s">
        <v>80</v>
      </c>
      <c r="J247" s="1" t="s">
        <v>81</v>
      </c>
      <c r="K247" s="1" t="s">
        <v>27</v>
      </c>
      <c r="L247" s="1" t="s">
        <v>28</v>
      </c>
      <c r="M247" s="2">
        <v>6.5</v>
      </c>
      <c r="N247" s="5">
        <f t="shared" si="100"/>
        <v>5052.1500000000005</v>
      </c>
      <c r="O247" s="1">
        <v>230</v>
      </c>
      <c r="P247" s="1">
        <v>80</v>
      </c>
      <c r="Q247" s="1">
        <v>6</v>
      </c>
      <c r="R247" s="3">
        <v>0.9881463174048688</v>
      </c>
      <c r="S247" s="4">
        <v>0.1104513503787386</v>
      </c>
      <c r="T247" s="3">
        <v>0.59719216681815046</v>
      </c>
      <c r="U247" s="9">
        <v>45972</v>
      </c>
    </row>
    <row r="248" spans="1:21">
      <c r="A248" s="1">
        <v>247</v>
      </c>
      <c r="B248" s="1" t="s">
        <v>29</v>
      </c>
      <c r="C248" s="1" t="s">
        <v>69</v>
      </c>
      <c r="D248" s="1" t="s">
        <v>78</v>
      </c>
      <c r="E248" s="1" t="s">
        <v>79</v>
      </c>
      <c r="F248" s="1" t="str">
        <f t="shared" ref="F248:F260" si="101">LEFT(E248,3)</f>
        <v>215</v>
      </c>
      <c r="G248" s="1" t="str">
        <f t="shared" ref="G248:G260" si="102">MID(E248,5,2)</f>
        <v>55</v>
      </c>
      <c r="H248" s="1" t="str">
        <f t="shared" ref="H248:H260" si="103">MID(E248,8,2)</f>
        <v>17</v>
      </c>
      <c r="I248" s="1" t="s">
        <v>31</v>
      </c>
      <c r="J248" s="1" t="s">
        <v>50</v>
      </c>
      <c r="K248" s="1" t="s">
        <v>64</v>
      </c>
      <c r="L248" s="1" t="s">
        <v>82</v>
      </c>
      <c r="M248" s="2">
        <v>6.5</v>
      </c>
      <c r="N248" s="5">
        <f t="shared" si="100"/>
        <v>5052.1500000000005</v>
      </c>
      <c r="O248" s="1">
        <v>230</v>
      </c>
      <c r="P248" s="1">
        <v>80</v>
      </c>
      <c r="Q248" s="1">
        <v>1</v>
      </c>
      <c r="R248" s="3">
        <v>0.93636954034084785</v>
      </c>
      <c r="S248" s="4">
        <v>0.14027765740614451</v>
      </c>
      <c r="T248" s="3">
        <v>0.59901646982492041</v>
      </c>
      <c r="U248" s="9">
        <v>45972</v>
      </c>
    </row>
    <row r="249" spans="1:21">
      <c r="A249" s="1">
        <v>248</v>
      </c>
      <c r="B249" s="1" t="s">
        <v>29</v>
      </c>
      <c r="C249" s="1" t="s">
        <v>69</v>
      </c>
      <c r="D249" s="1" t="s">
        <v>78</v>
      </c>
      <c r="E249" s="1" t="s">
        <v>79</v>
      </c>
      <c r="F249" s="1" t="str">
        <f t="shared" si="101"/>
        <v>215</v>
      </c>
      <c r="G249" s="1" t="str">
        <f t="shared" si="102"/>
        <v>55</v>
      </c>
      <c r="H249" s="1" t="str">
        <f t="shared" si="103"/>
        <v>17</v>
      </c>
      <c r="I249" s="1" t="s">
        <v>31</v>
      </c>
      <c r="J249" s="1" t="s">
        <v>50</v>
      </c>
      <c r="K249" s="1" t="s">
        <v>64</v>
      </c>
      <c r="L249" s="1" t="s">
        <v>82</v>
      </c>
      <c r="M249" s="2">
        <v>6.5</v>
      </c>
      <c r="N249" s="5">
        <f t="shared" si="100"/>
        <v>5052.1500000000005</v>
      </c>
      <c r="O249" s="1">
        <v>230</v>
      </c>
      <c r="P249" s="1">
        <v>80</v>
      </c>
      <c r="Q249" s="1">
        <v>2</v>
      </c>
      <c r="R249" s="3">
        <v>0.98351122379027789</v>
      </c>
      <c r="S249" s="4">
        <v>0.1149518201260139</v>
      </c>
      <c r="T249" s="3">
        <v>0.62802333463982729</v>
      </c>
      <c r="U249" s="9">
        <v>45972</v>
      </c>
    </row>
    <row r="250" spans="1:21">
      <c r="A250" s="1">
        <v>249</v>
      </c>
      <c r="B250" s="1" t="s">
        <v>29</v>
      </c>
      <c r="C250" s="1" t="s">
        <v>69</v>
      </c>
      <c r="D250" s="1" t="s">
        <v>78</v>
      </c>
      <c r="E250" s="1" t="s">
        <v>79</v>
      </c>
      <c r="F250" s="1" t="str">
        <f t="shared" si="101"/>
        <v>215</v>
      </c>
      <c r="G250" s="1" t="str">
        <f t="shared" si="102"/>
        <v>55</v>
      </c>
      <c r="H250" s="1" t="str">
        <f t="shared" si="103"/>
        <v>17</v>
      </c>
      <c r="I250" s="1" t="s">
        <v>31</v>
      </c>
      <c r="J250" s="1" t="s">
        <v>50</v>
      </c>
      <c r="K250" s="1" t="s">
        <v>64</v>
      </c>
      <c r="L250" s="1" t="s">
        <v>82</v>
      </c>
      <c r="M250" s="2">
        <v>6.5</v>
      </c>
      <c r="N250" s="5">
        <f t="shared" si="100"/>
        <v>5052.1500000000005</v>
      </c>
      <c r="O250" s="1">
        <v>230</v>
      </c>
      <c r="P250" s="1">
        <v>80</v>
      </c>
      <c r="Q250" s="1">
        <v>3</v>
      </c>
      <c r="R250" s="3">
        <v>0.96813697392171549</v>
      </c>
      <c r="S250" s="4">
        <v>0.1471697695559212</v>
      </c>
      <c r="T250" s="3">
        <v>0.67731366906445878</v>
      </c>
      <c r="U250" s="9">
        <v>45972</v>
      </c>
    </row>
    <row r="251" spans="1:21">
      <c r="A251" s="1">
        <v>250</v>
      </c>
      <c r="B251" s="1" t="s">
        <v>29</v>
      </c>
      <c r="C251" s="1" t="s">
        <v>69</v>
      </c>
      <c r="D251" s="1" t="s">
        <v>78</v>
      </c>
      <c r="E251" s="1" t="s">
        <v>79</v>
      </c>
      <c r="F251" s="1" t="str">
        <f t="shared" si="101"/>
        <v>215</v>
      </c>
      <c r="G251" s="1" t="str">
        <f t="shared" si="102"/>
        <v>55</v>
      </c>
      <c r="H251" s="1" t="str">
        <f t="shared" si="103"/>
        <v>17</v>
      </c>
      <c r="I251" s="1" t="s">
        <v>31</v>
      </c>
      <c r="J251" s="1" t="s">
        <v>50</v>
      </c>
      <c r="K251" s="1" t="s">
        <v>64</v>
      </c>
      <c r="L251" s="1" t="s">
        <v>82</v>
      </c>
      <c r="M251" s="2">
        <v>6.5</v>
      </c>
      <c r="N251" s="5">
        <f t="shared" si="100"/>
        <v>5052.1500000000005</v>
      </c>
      <c r="O251" s="1">
        <v>230</v>
      </c>
      <c r="P251" s="1">
        <v>80</v>
      </c>
      <c r="Q251" s="1">
        <v>4</v>
      </c>
      <c r="R251" s="3">
        <v>0.97791711476898457</v>
      </c>
      <c r="S251" s="4">
        <v>0.15403624861646589</v>
      </c>
      <c r="T251" s="3">
        <v>0.61067524427485276</v>
      </c>
      <c r="U251" s="9">
        <v>45972</v>
      </c>
    </row>
    <row r="252" spans="1:21">
      <c r="A252" s="1">
        <v>251</v>
      </c>
      <c r="B252" s="1" t="s">
        <v>29</v>
      </c>
      <c r="C252" s="1" t="s">
        <v>69</v>
      </c>
      <c r="D252" s="1" t="s">
        <v>78</v>
      </c>
      <c r="E252" s="1" t="s">
        <v>79</v>
      </c>
      <c r="F252" s="1" t="str">
        <f t="shared" si="101"/>
        <v>215</v>
      </c>
      <c r="G252" s="1" t="str">
        <f t="shared" si="102"/>
        <v>55</v>
      </c>
      <c r="H252" s="1" t="str">
        <f t="shared" si="103"/>
        <v>17</v>
      </c>
      <c r="I252" s="1" t="s">
        <v>31</v>
      </c>
      <c r="J252" s="1" t="s">
        <v>50</v>
      </c>
      <c r="K252" s="1" t="s">
        <v>64</v>
      </c>
      <c r="L252" s="1" t="s">
        <v>82</v>
      </c>
      <c r="M252" s="2">
        <v>6.5</v>
      </c>
      <c r="N252" s="5">
        <f t="shared" si="100"/>
        <v>5052.1500000000005</v>
      </c>
      <c r="O252" s="1">
        <v>230</v>
      </c>
      <c r="P252" s="1">
        <v>80</v>
      </c>
      <c r="Q252" s="1">
        <v>5</v>
      </c>
      <c r="R252" s="3">
        <v>1.00310174217049</v>
      </c>
      <c r="S252" s="4">
        <v>0.13884633107425909</v>
      </c>
      <c r="T252" s="3">
        <v>0.7097027680119542</v>
      </c>
      <c r="U252" s="9">
        <v>45972</v>
      </c>
    </row>
    <row r="253" spans="1:21">
      <c r="A253" s="1">
        <v>252</v>
      </c>
      <c r="B253" s="1" t="s">
        <v>29</v>
      </c>
      <c r="C253" s="1" t="s">
        <v>69</v>
      </c>
      <c r="D253" s="1" t="s">
        <v>78</v>
      </c>
      <c r="E253" s="1" t="s">
        <v>79</v>
      </c>
      <c r="F253" s="1" t="str">
        <f t="shared" si="101"/>
        <v>215</v>
      </c>
      <c r="G253" s="1" t="str">
        <f t="shared" si="102"/>
        <v>55</v>
      </c>
      <c r="H253" s="1" t="str">
        <f t="shared" si="103"/>
        <v>17</v>
      </c>
      <c r="I253" s="1" t="s">
        <v>31</v>
      </c>
      <c r="J253" s="1" t="s">
        <v>50</v>
      </c>
      <c r="K253" s="1" t="s">
        <v>64</v>
      </c>
      <c r="L253" s="1" t="s">
        <v>82</v>
      </c>
      <c r="M253" s="2">
        <v>6.5</v>
      </c>
      <c r="N253" s="5">
        <f t="shared" si="100"/>
        <v>5052.1500000000005</v>
      </c>
      <c r="O253" s="1">
        <v>230</v>
      </c>
      <c r="P253" s="1">
        <v>80</v>
      </c>
      <c r="Q253" s="1">
        <v>6</v>
      </c>
      <c r="R253" s="3">
        <v>0.97470527676176266</v>
      </c>
      <c r="S253" s="4">
        <v>0.14205830645400311</v>
      </c>
      <c r="T253" s="3">
        <v>0.62090626820903161</v>
      </c>
      <c r="U253" s="9">
        <v>45972</v>
      </c>
    </row>
    <row r="254" spans="1:21">
      <c r="A254" s="1">
        <v>253</v>
      </c>
      <c r="B254" s="1" t="s">
        <v>29</v>
      </c>
      <c r="C254" s="1" t="s">
        <v>69</v>
      </c>
      <c r="D254" s="1" t="s">
        <v>78</v>
      </c>
      <c r="E254" s="1" t="s">
        <v>79</v>
      </c>
      <c r="F254" s="1" t="str">
        <f t="shared" si="101"/>
        <v>215</v>
      </c>
      <c r="G254" s="1" t="str">
        <f t="shared" si="102"/>
        <v>55</v>
      </c>
      <c r="H254" s="1" t="str">
        <f t="shared" si="103"/>
        <v>17</v>
      </c>
      <c r="I254" s="1" t="s">
        <v>31</v>
      </c>
      <c r="J254" s="1" t="s">
        <v>50</v>
      </c>
      <c r="K254" s="1" t="s">
        <v>64</v>
      </c>
      <c r="L254" s="1" t="s">
        <v>83</v>
      </c>
      <c r="M254" s="2">
        <v>6.5</v>
      </c>
      <c r="N254" s="5">
        <f t="shared" si="100"/>
        <v>5052.1500000000005</v>
      </c>
      <c r="O254" s="1">
        <v>230</v>
      </c>
      <c r="P254" s="1">
        <v>80</v>
      </c>
      <c r="Q254" s="1">
        <v>1</v>
      </c>
      <c r="R254" s="3">
        <v>0.92702935395103547</v>
      </c>
      <c r="S254" s="4">
        <v>0.1715728325677443</v>
      </c>
      <c r="T254" s="3">
        <v>0.62637042596458037</v>
      </c>
      <c r="U254" s="9">
        <v>45972</v>
      </c>
    </row>
    <row r="255" spans="1:21">
      <c r="A255" s="1">
        <v>254</v>
      </c>
      <c r="B255" s="1" t="s">
        <v>29</v>
      </c>
      <c r="C255" s="1" t="s">
        <v>69</v>
      </c>
      <c r="D255" s="1" t="s">
        <v>78</v>
      </c>
      <c r="E255" s="1" t="s">
        <v>79</v>
      </c>
      <c r="F255" s="1" t="str">
        <f t="shared" si="101"/>
        <v>215</v>
      </c>
      <c r="G255" s="1" t="str">
        <f t="shared" si="102"/>
        <v>55</v>
      </c>
      <c r="H255" s="1" t="str">
        <f t="shared" si="103"/>
        <v>17</v>
      </c>
      <c r="I255" s="1" t="s">
        <v>31</v>
      </c>
      <c r="J255" s="1" t="s">
        <v>50</v>
      </c>
      <c r="K255" s="1" t="s">
        <v>64</v>
      </c>
      <c r="L255" s="1" t="s">
        <v>83</v>
      </c>
      <c r="M255" s="2">
        <v>6.5</v>
      </c>
      <c r="N255" s="5">
        <f t="shared" si="100"/>
        <v>5052.1500000000005</v>
      </c>
      <c r="O255" s="1">
        <v>230</v>
      </c>
      <c r="P255" s="1">
        <v>80</v>
      </c>
      <c r="Q255" s="1">
        <v>2</v>
      </c>
      <c r="R255" s="3">
        <v>0.92553281266438137</v>
      </c>
      <c r="S255" s="4">
        <v>0.1489365956172794</v>
      </c>
      <c r="T255" s="3">
        <v>0.61853751497528475</v>
      </c>
      <c r="U255" s="9">
        <v>45972</v>
      </c>
    </row>
    <row r="256" spans="1:21">
      <c r="A256" s="1">
        <v>255</v>
      </c>
      <c r="B256" s="1" t="s">
        <v>29</v>
      </c>
      <c r="C256" s="1" t="s">
        <v>69</v>
      </c>
      <c r="D256" s="1" t="s">
        <v>78</v>
      </c>
      <c r="E256" s="1" t="s">
        <v>79</v>
      </c>
      <c r="F256" s="1" t="str">
        <f t="shared" si="101"/>
        <v>215</v>
      </c>
      <c r="G256" s="1" t="str">
        <f t="shared" si="102"/>
        <v>55</v>
      </c>
      <c r="H256" s="1" t="str">
        <f t="shared" si="103"/>
        <v>17</v>
      </c>
      <c r="I256" s="1" t="s">
        <v>31</v>
      </c>
      <c r="J256" s="1" t="s">
        <v>50</v>
      </c>
      <c r="K256" s="1" t="s">
        <v>64</v>
      </c>
      <c r="L256" s="1" t="s">
        <v>83</v>
      </c>
      <c r="M256" s="2">
        <v>6.5</v>
      </c>
      <c r="N256" s="5">
        <f t="shared" si="100"/>
        <v>5052.1500000000005</v>
      </c>
      <c r="O256" s="1">
        <v>230</v>
      </c>
      <c r="P256" s="1">
        <v>80</v>
      </c>
      <c r="Q256" s="1">
        <v>3</v>
      </c>
      <c r="R256" s="3">
        <v>0.92474283235336685</v>
      </c>
      <c r="S256" s="4">
        <v>0.16495737509763961</v>
      </c>
      <c r="T256" s="3">
        <v>0.69812842395039632</v>
      </c>
      <c r="U256" s="9">
        <v>45972</v>
      </c>
    </row>
    <row r="257" spans="1:21">
      <c r="A257" s="1">
        <v>256</v>
      </c>
      <c r="B257" s="1" t="s">
        <v>29</v>
      </c>
      <c r="C257" s="1" t="s">
        <v>69</v>
      </c>
      <c r="D257" s="1" t="s">
        <v>78</v>
      </c>
      <c r="E257" s="1" t="s">
        <v>79</v>
      </c>
      <c r="F257" s="1" t="str">
        <f t="shared" si="101"/>
        <v>215</v>
      </c>
      <c r="G257" s="1" t="str">
        <f t="shared" si="102"/>
        <v>55</v>
      </c>
      <c r="H257" s="1" t="str">
        <f t="shared" si="103"/>
        <v>17</v>
      </c>
      <c r="I257" s="1" t="s">
        <v>31</v>
      </c>
      <c r="J257" s="1" t="s">
        <v>50</v>
      </c>
      <c r="K257" s="1" t="s">
        <v>64</v>
      </c>
      <c r="L257" s="1" t="s">
        <v>83</v>
      </c>
      <c r="M257" s="2">
        <v>6.5</v>
      </c>
      <c r="N257" s="5">
        <f t="shared" si="100"/>
        <v>5052.1500000000005</v>
      </c>
      <c r="O257" s="1">
        <v>230</v>
      </c>
      <c r="P257" s="1">
        <v>80</v>
      </c>
      <c r="Q257" s="1">
        <v>4</v>
      </c>
      <c r="R257" s="3">
        <v>0.93399079564886966</v>
      </c>
      <c r="S257" s="4">
        <v>0.1596563858534438</v>
      </c>
      <c r="T257" s="3">
        <v>0.63052792827067239</v>
      </c>
      <c r="U257" s="9">
        <v>45972</v>
      </c>
    </row>
    <row r="258" spans="1:21">
      <c r="A258" s="1">
        <v>257</v>
      </c>
      <c r="B258" s="1" t="s">
        <v>29</v>
      </c>
      <c r="C258" s="1" t="s">
        <v>69</v>
      </c>
      <c r="D258" s="1" t="s">
        <v>78</v>
      </c>
      <c r="E258" s="1" t="s">
        <v>79</v>
      </c>
      <c r="F258" s="1" t="str">
        <f t="shared" si="101"/>
        <v>215</v>
      </c>
      <c r="G258" s="1" t="str">
        <f t="shared" si="102"/>
        <v>55</v>
      </c>
      <c r="H258" s="1" t="str">
        <f t="shared" si="103"/>
        <v>17</v>
      </c>
      <c r="I258" s="1" t="s">
        <v>31</v>
      </c>
      <c r="J258" s="1" t="s">
        <v>50</v>
      </c>
      <c r="K258" s="1" t="s">
        <v>64</v>
      </c>
      <c r="L258" s="1" t="s">
        <v>83</v>
      </c>
      <c r="M258" s="2">
        <v>6.5</v>
      </c>
      <c r="N258" s="5">
        <f t="shared" si="100"/>
        <v>5052.1500000000005</v>
      </c>
      <c r="O258" s="1">
        <v>230</v>
      </c>
      <c r="P258" s="1">
        <v>80</v>
      </c>
      <c r="Q258" s="1">
        <v>5</v>
      </c>
      <c r="R258" s="3">
        <v>0.9699114845787653</v>
      </c>
      <c r="S258" s="4">
        <v>0.13980835902884131</v>
      </c>
      <c r="T258" s="3">
        <v>0.63388905830378617</v>
      </c>
      <c r="U258" s="9">
        <v>45972</v>
      </c>
    </row>
    <row r="259" spans="1:21">
      <c r="A259" s="1">
        <v>258</v>
      </c>
      <c r="B259" s="1" t="s">
        <v>29</v>
      </c>
      <c r="C259" s="1" t="s">
        <v>69</v>
      </c>
      <c r="D259" s="1" t="s">
        <v>78</v>
      </c>
      <c r="E259" s="1" t="s">
        <v>79</v>
      </c>
      <c r="F259" s="1" t="str">
        <f t="shared" si="101"/>
        <v>215</v>
      </c>
      <c r="G259" s="1" t="str">
        <f t="shared" si="102"/>
        <v>55</v>
      </c>
      <c r="H259" s="1" t="str">
        <f t="shared" si="103"/>
        <v>17</v>
      </c>
      <c r="I259" s="1" t="s">
        <v>31</v>
      </c>
      <c r="J259" s="1" t="s">
        <v>50</v>
      </c>
      <c r="K259" s="1" t="s">
        <v>64</v>
      </c>
      <c r="L259" s="1" t="s">
        <v>83</v>
      </c>
      <c r="M259" s="2">
        <v>6.5</v>
      </c>
      <c r="N259" s="5">
        <f t="shared" si="100"/>
        <v>5052.1500000000005</v>
      </c>
      <c r="O259" s="1">
        <v>230</v>
      </c>
      <c r="P259" s="1">
        <v>80</v>
      </c>
      <c r="Q259" s="1">
        <v>6</v>
      </c>
      <c r="R259" s="3">
        <v>0.94716493404969226</v>
      </c>
      <c r="S259" s="4">
        <v>0.19767519612618081</v>
      </c>
      <c r="T259" s="3">
        <v>0.67764471024861339</v>
      </c>
      <c r="U259" s="9">
        <v>45972</v>
      </c>
    </row>
    <row r="260" spans="1:21">
      <c r="A260" s="1">
        <v>259</v>
      </c>
      <c r="B260" s="1" t="s">
        <v>29</v>
      </c>
      <c r="C260" s="1" t="s">
        <v>69</v>
      </c>
      <c r="D260" s="1" t="s">
        <v>78</v>
      </c>
      <c r="E260" s="1" t="s">
        <v>84</v>
      </c>
      <c r="F260" s="1" t="str">
        <f t="shared" si="101"/>
        <v>205</v>
      </c>
      <c r="G260" s="1" t="str">
        <f t="shared" si="102"/>
        <v>65</v>
      </c>
      <c r="H260" s="1" t="str">
        <f t="shared" si="103"/>
        <v>16</v>
      </c>
      <c r="I260" s="1" t="s">
        <v>31</v>
      </c>
      <c r="J260" s="1" t="s">
        <v>46</v>
      </c>
      <c r="K260" s="1" t="s">
        <v>85</v>
      </c>
      <c r="L260" s="1" t="s">
        <v>28</v>
      </c>
      <c r="M260" s="2">
        <v>6</v>
      </c>
      <c r="N260" s="5">
        <f t="shared" si="100"/>
        <v>5052.1500000000005</v>
      </c>
      <c r="O260" s="1">
        <v>230</v>
      </c>
      <c r="P260" s="1">
        <v>80</v>
      </c>
      <c r="Q260" s="1">
        <v>1</v>
      </c>
      <c r="R260" s="3">
        <v>0.93781843963838907</v>
      </c>
      <c r="S260" s="4">
        <v>0.14147258335290189</v>
      </c>
      <c r="T260" s="3">
        <v>0.59815765014785349</v>
      </c>
      <c r="U260" s="9">
        <v>45972</v>
      </c>
    </row>
    <row r="261" spans="1:21">
      <c r="A261" s="1">
        <v>260</v>
      </c>
      <c r="B261" s="1" t="s">
        <v>29</v>
      </c>
      <c r="C261" s="1" t="s">
        <v>69</v>
      </c>
      <c r="D261" s="1" t="s">
        <v>78</v>
      </c>
      <c r="E261" s="1" t="s">
        <v>84</v>
      </c>
      <c r="F261" s="1" t="str">
        <f t="shared" ref="F261:F265" si="104">LEFT(E261,3)</f>
        <v>205</v>
      </c>
      <c r="G261" s="1" t="str">
        <f t="shared" ref="G261:G265" si="105">MID(E261,5,2)</f>
        <v>65</v>
      </c>
      <c r="H261" s="1" t="str">
        <f t="shared" ref="H261:H265" si="106">MID(E261,8,2)</f>
        <v>16</v>
      </c>
      <c r="I261" s="1" t="s">
        <v>31</v>
      </c>
      <c r="J261" s="1" t="s">
        <v>46</v>
      </c>
      <c r="K261" s="1" t="s">
        <v>85</v>
      </c>
      <c r="L261" s="1" t="s">
        <v>28</v>
      </c>
      <c r="M261" s="2">
        <v>6</v>
      </c>
      <c r="N261" s="5">
        <f t="shared" si="100"/>
        <v>5052.1500000000005</v>
      </c>
      <c r="O261" s="1">
        <v>230</v>
      </c>
      <c r="P261" s="1">
        <v>80</v>
      </c>
      <c r="Q261" s="1">
        <v>2</v>
      </c>
      <c r="R261" s="3">
        <v>0.93753620887703593</v>
      </c>
      <c r="S261" s="4">
        <v>0.1107274961808327</v>
      </c>
      <c r="T261" s="3">
        <v>0.57553259835980841</v>
      </c>
      <c r="U261" s="9">
        <v>45972</v>
      </c>
    </row>
    <row r="262" spans="1:21">
      <c r="A262" s="1">
        <v>261</v>
      </c>
      <c r="B262" s="1" t="s">
        <v>29</v>
      </c>
      <c r="C262" s="1" t="s">
        <v>69</v>
      </c>
      <c r="D262" s="1" t="s">
        <v>78</v>
      </c>
      <c r="E262" s="1" t="s">
        <v>84</v>
      </c>
      <c r="F262" s="1" t="str">
        <f t="shared" si="104"/>
        <v>205</v>
      </c>
      <c r="G262" s="1" t="str">
        <f t="shared" si="105"/>
        <v>65</v>
      </c>
      <c r="H262" s="1" t="str">
        <f t="shared" si="106"/>
        <v>16</v>
      </c>
      <c r="I262" s="1" t="s">
        <v>31</v>
      </c>
      <c r="J262" s="1" t="s">
        <v>46</v>
      </c>
      <c r="K262" s="1" t="s">
        <v>85</v>
      </c>
      <c r="L262" s="1" t="s">
        <v>28</v>
      </c>
      <c r="M262" s="2">
        <v>6</v>
      </c>
      <c r="N262" s="5">
        <f t="shared" si="100"/>
        <v>5052.1500000000005</v>
      </c>
      <c r="O262" s="1">
        <v>230</v>
      </c>
      <c r="P262" s="1">
        <v>80</v>
      </c>
      <c r="Q262" s="1">
        <v>3</v>
      </c>
      <c r="R262" s="3">
        <v>0.96263070654451877</v>
      </c>
      <c r="S262" s="4">
        <v>0.1062763248608458</v>
      </c>
      <c r="T262" s="3">
        <v>0.5679953157481209</v>
      </c>
      <c r="U262" s="9">
        <v>45972</v>
      </c>
    </row>
    <row r="263" spans="1:21">
      <c r="A263" s="1">
        <v>262</v>
      </c>
      <c r="B263" s="1" t="s">
        <v>29</v>
      </c>
      <c r="C263" s="1" t="s">
        <v>69</v>
      </c>
      <c r="D263" s="1" t="s">
        <v>78</v>
      </c>
      <c r="E263" s="1" t="s">
        <v>84</v>
      </c>
      <c r="F263" s="1" t="str">
        <f t="shared" si="104"/>
        <v>205</v>
      </c>
      <c r="G263" s="1" t="str">
        <f t="shared" si="105"/>
        <v>65</v>
      </c>
      <c r="H263" s="1" t="str">
        <f t="shared" si="106"/>
        <v>16</v>
      </c>
      <c r="I263" s="1" t="s">
        <v>31</v>
      </c>
      <c r="J263" s="1" t="s">
        <v>46</v>
      </c>
      <c r="K263" s="1" t="s">
        <v>85</v>
      </c>
      <c r="L263" s="1" t="s">
        <v>28</v>
      </c>
      <c r="M263" s="2">
        <v>6</v>
      </c>
      <c r="N263" s="5">
        <f t="shared" si="100"/>
        <v>5052.1500000000005</v>
      </c>
      <c r="O263" s="1">
        <v>230</v>
      </c>
      <c r="P263" s="1">
        <v>80</v>
      </c>
      <c r="Q263" s="1">
        <v>4</v>
      </c>
      <c r="R263" s="3">
        <v>0.94617092363933497</v>
      </c>
      <c r="S263" s="4">
        <v>0.1251698928435836</v>
      </c>
      <c r="T263" s="3">
        <v>0.5612403448233908</v>
      </c>
      <c r="U263" s="9">
        <v>45972</v>
      </c>
    </row>
    <row r="264" spans="1:21">
      <c r="A264" s="1">
        <v>263</v>
      </c>
      <c r="B264" s="1" t="s">
        <v>29</v>
      </c>
      <c r="C264" s="1" t="s">
        <v>69</v>
      </c>
      <c r="D264" s="1" t="s">
        <v>78</v>
      </c>
      <c r="E264" s="1" t="s">
        <v>84</v>
      </c>
      <c r="F264" s="1" t="str">
        <f t="shared" si="104"/>
        <v>205</v>
      </c>
      <c r="G264" s="1" t="str">
        <f t="shared" si="105"/>
        <v>65</v>
      </c>
      <c r="H264" s="1" t="str">
        <f t="shared" si="106"/>
        <v>16</v>
      </c>
      <c r="I264" s="1" t="s">
        <v>31</v>
      </c>
      <c r="J264" s="1" t="s">
        <v>46</v>
      </c>
      <c r="K264" s="1" t="s">
        <v>85</v>
      </c>
      <c r="L264" s="1" t="s">
        <v>28</v>
      </c>
      <c r="M264" s="2">
        <v>6</v>
      </c>
      <c r="N264" s="5">
        <f t="shared" si="100"/>
        <v>5052.1500000000005</v>
      </c>
      <c r="O264" s="1">
        <v>230</v>
      </c>
      <c r="P264" s="1">
        <v>80</v>
      </c>
      <c r="Q264" s="1">
        <v>5</v>
      </c>
      <c r="R264" s="3">
        <v>0.94812854338488695</v>
      </c>
      <c r="S264" s="4">
        <v>0.14967051164372111</v>
      </c>
      <c r="T264" s="3">
        <v>0.58752727320217324</v>
      </c>
      <c r="U264" s="9">
        <v>45972</v>
      </c>
    </row>
    <row r="265" spans="1:21">
      <c r="A265" s="1">
        <v>264</v>
      </c>
      <c r="B265" s="1" t="s">
        <v>29</v>
      </c>
      <c r="C265" s="1" t="s">
        <v>69</v>
      </c>
      <c r="D265" s="1" t="s">
        <v>78</v>
      </c>
      <c r="E265" s="1" t="s">
        <v>84</v>
      </c>
      <c r="F265" s="1" t="str">
        <f t="shared" si="104"/>
        <v>205</v>
      </c>
      <c r="G265" s="1" t="str">
        <f t="shared" si="105"/>
        <v>65</v>
      </c>
      <c r="H265" s="1" t="str">
        <f t="shared" si="106"/>
        <v>16</v>
      </c>
      <c r="I265" s="1" t="s">
        <v>31</v>
      </c>
      <c r="J265" s="1" t="s">
        <v>46</v>
      </c>
      <c r="K265" s="1" t="s">
        <v>85</v>
      </c>
      <c r="L265" s="1" t="s">
        <v>28</v>
      </c>
      <c r="M265" s="2">
        <v>6</v>
      </c>
      <c r="N265" s="5">
        <f t="shared" si="100"/>
        <v>5052.1500000000005</v>
      </c>
      <c r="O265" s="1">
        <v>230</v>
      </c>
      <c r="P265" s="1">
        <v>80</v>
      </c>
      <c r="Q265" s="1">
        <v>6</v>
      </c>
      <c r="R265" s="3">
        <v>0.9191008972750323</v>
      </c>
      <c r="S265" s="4">
        <v>0.1683439742465557</v>
      </c>
      <c r="T265" s="3">
        <v>0.55088289144761915</v>
      </c>
      <c r="U265" s="9">
        <v>45972</v>
      </c>
    </row>
    <row r="266" spans="1:21">
      <c r="A266" s="1">
        <v>265</v>
      </c>
      <c r="B266" s="1" t="s">
        <v>29</v>
      </c>
      <c r="C266" s="1" t="s">
        <v>69</v>
      </c>
      <c r="D266" s="1" t="s">
        <v>78</v>
      </c>
      <c r="E266" s="1" t="s">
        <v>84</v>
      </c>
      <c r="F266" s="1" t="str">
        <f t="shared" ref="F266" si="107">LEFT(E266,3)</f>
        <v>205</v>
      </c>
      <c r="G266" s="1" t="str">
        <f t="shared" ref="G266" si="108">MID(E266,5,2)</f>
        <v>65</v>
      </c>
      <c r="H266" s="1" t="str">
        <f t="shared" ref="H266" si="109">MID(E266,8,2)</f>
        <v>16</v>
      </c>
      <c r="I266" s="1" t="s">
        <v>31</v>
      </c>
      <c r="J266" s="1" t="s">
        <v>50</v>
      </c>
      <c r="K266" s="1" t="s">
        <v>64</v>
      </c>
      <c r="L266" s="1" t="s">
        <v>86</v>
      </c>
      <c r="M266" s="2">
        <v>6</v>
      </c>
      <c r="N266" s="5">
        <f t="shared" si="100"/>
        <v>5052.1500000000005</v>
      </c>
      <c r="O266" s="1">
        <v>230</v>
      </c>
      <c r="P266" s="1">
        <v>80</v>
      </c>
      <c r="Q266" s="1">
        <v>1</v>
      </c>
      <c r="R266" s="3">
        <v>0.94508875042301255</v>
      </c>
      <c r="S266" s="4">
        <v>0.1322799712594501</v>
      </c>
      <c r="T266" s="3">
        <v>0.64390482003041194</v>
      </c>
      <c r="U266" s="9">
        <v>45972</v>
      </c>
    </row>
    <row r="267" spans="1:21">
      <c r="A267" s="1">
        <v>266</v>
      </c>
      <c r="B267" s="1" t="s">
        <v>29</v>
      </c>
      <c r="C267" s="1" t="s">
        <v>69</v>
      </c>
      <c r="D267" s="1" t="s">
        <v>78</v>
      </c>
      <c r="E267" s="1" t="s">
        <v>84</v>
      </c>
      <c r="F267" s="1" t="str">
        <f t="shared" ref="F267:F278" si="110">LEFT(E267,3)</f>
        <v>205</v>
      </c>
      <c r="G267" s="1" t="str">
        <f t="shared" ref="G267:G278" si="111">MID(E267,5,2)</f>
        <v>65</v>
      </c>
      <c r="H267" s="1" t="str">
        <f t="shared" ref="H267:H278" si="112">MID(E267,8,2)</f>
        <v>16</v>
      </c>
      <c r="I267" s="1" t="s">
        <v>31</v>
      </c>
      <c r="J267" s="1" t="s">
        <v>50</v>
      </c>
      <c r="K267" s="1" t="s">
        <v>64</v>
      </c>
      <c r="L267" s="1" t="s">
        <v>86</v>
      </c>
      <c r="M267" s="2">
        <v>6</v>
      </c>
      <c r="N267" s="5">
        <f t="shared" si="100"/>
        <v>5052.1500000000005</v>
      </c>
      <c r="O267" s="1">
        <v>230</v>
      </c>
      <c r="P267" s="1">
        <v>80</v>
      </c>
      <c r="Q267" s="1">
        <v>2</v>
      </c>
      <c r="R267" s="3">
        <v>0.94301610000663971</v>
      </c>
      <c r="S267" s="4">
        <v>0.12501881026655839</v>
      </c>
      <c r="T267" s="3">
        <v>0.5987300535549156</v>
      </c>
      <c r="U267" s="9">
        <v>45972</v>
      </c>
    </row>
    <row r="268" spans="1:21">
      <c r="A268" s="1">
        <v>267</v>
      </c>
      <c r="B268" s="1" t="s">
        <v>29</v>
      </c>
      <c r="C268" s="1" t="s">
        <v>69</v>
      </c>
      <c r="D268" s="1" t="s">
        <v>78</v>
      </c>
      <c r="E268" s="1" t="s">
        <v>84</v>
      </c>
      <c r="F268" s="1" t="str">
        <f t="shared" si="110"/>
        <v>205</v>
      </c>
      <c r="G268" s="1" t="str">
        <f t="shared" si="111"/>
        <v>65</v>
      </c>
      <c r="H268" s="1" t="str">
        <f t="shared" si="112"/>
        <v>16</v>
      </c>
      <c r="I268" s="1" t="s">
        <v>31</v>
      </c>
      <c r="J268" s="1" t="s">
        <v>50</v>
      </c>
      <c r="K268" s="1" t="s">
        <v>64</v>
      </c>
      <c r="L268" s="1" t="s">
        <v>86</v>
      </c>
      <c r="M268" s="2">
        <v>6</v>
      </c>
      <c r="N268" s="5">
        <f t="shared" si="100"/>
        <v>5052.1500000000005</v>
      </c>
      <c r="O268" s="1">
        <v>230</v>
      </c>
      <c r="P268" s="1">
        <v>80</v>
      </c>
      <c r="Q268" s="1">
        <v>3</v>
      </c>
      <c r="R268" s="3">
        <v>0.91794241795022558</v>
      </c>
      <c r="S268" s="4">
        <v>0.17082499907879409</v>
      </c>
      <c r="T268" s="3">
        <v>0.63329148639849686</v>
      </c>
      <c r="U268" s="9">
        <v>45972</v>
      </c>
    </row>
    <row r="269" spans="1:21">
      <c r="A269" s="1">
        <v>268</v>
      </c>
      <c r="B269" s="1" t="s">
        <v>29</v>
      </c>
      <c r="C269" s="1" t="s">
        <v>69</v>
      </c>
      <c r="D269" s="1" t="s">
        <v>78</v>
      </c>
      <c r="E269" s="1" t="s">
        <v>84</v>
      </c>
      <c r="F269" s="1" t="str">
        <f t="shared" si="110"/>
        <v>205</v>
      </c>
      <c r="G269" s="1" t="str">
        <f t="shared" si="111"/>
        <v>65</v>
      </c>
      <c r="H269" s="1" t="str">
        <f t="shared" si="112"/>
        <v>16</v>
      </c>
      <c r="I269" s="1" t="s">
        <v>31</v>
      </c>
      <c r="J269" s="1" t="s">
        <v>50</v>
      </c>
      <c r="K269" s="1" t="s">
        <v>64</v>
      </c>
      <c r="L269" s="1" t="s">
        <v>86</v>
      </c>
      <c r="M269" s="2">
        <v>6</v>
      </c>
      <c r="N269" s="5">
        <f t="shared" si="100"/>
        <v>5052.1500000000005</v>
      </c>
      <c r="O269" s="1">
        <v>230</v>
      </c>
      <c r="P269" s="1">
        <v>80</v>
      </c>
      <c r="Q269" s="1">
        <v>4</v>
      </c>
      <c r="R269" s="3">
        <v>0.95409175338654251</v>
      </c>
      <c r="S269" s="4">
        <v>0.1186793171029152</v>
      </c>
      <c r="T269" s="3">
        <v>0.68534801908940812</v>
      </c>
      <c r="U269" s="9">
        <v>45972</v>
      </c>
    </row>
    <row r="270" spans="1:21">
      <c r="A270" s="1">
        <v>269</v>
      </c>
      <c r="B270" s="1" t="s">
        <v>29</v>
      </c>
      <c r="C270" s="1" t="s">
        <v>69</v>
      </c>
      <c r="D270" s="1" t="s">
        <v>78</v>
      </c>
      <c r="E270" s="1" t="s">
        <v>84</v>
      </c>
      <c r="F270" s="1" t="str">
        <f t="shared" si="110"/>
        <v>205</v>
      </c>
      <c r="G270" s="1" t="str">
        <f t="shared" si="111"/>
        <v>65</v>
      </c>
      <c r="H270" s="1" t="str">
        <f t="shared" si="112"/>
        <v>16</v>
      </c>
      <c r="I270" s="1" t="s">
        <v>31</v>
      </c>
      <c r="J270" s="1" t="s">
        <v>50</v>
      </c>
      <c r="K270" s="1" t="s">
        <v>64</v>
      </c>
      <c r="L270" s="1" t="s">
        <v>86</v>
      </c>
      <c r="M270" s="2">
        <v>6</v>
      </c>
      <c r="N270" s="5">
        <f t="shared" si="100"/>
        <v>5052.1500000000005</v>
      </c>
      <c r="O270" s="1">
        <v>230</v>
      </c>
      <c r="P270" s="1">
        <v>80</v>
      </c>
      <c r="Q270" s="1">
        <v>5</v>
      </c>
      <c r="R270" s="3">
        <v>0.9328414502924669</v>
      </c>
      <c r="S270" s="4">
        <v>0.12731601954514171</v>
      </c>
      <c r="T270" s="3">
        <v>0.61156005716916328</v>
      </c>
      <c r="U270" s="9">
        <v>45972</v>
      </c>
    </row>
    <row r="271" spans="1:21">
      <c r="A271" s="1">
        <v>270</v>
      </c>
      <c r="B271" s="1" t="s">
        <v>29</v>
      </c>
      <c r="C271" s="1" t="s">
        <v>69</v>
      </c>
      <c r="D271" s="1" t="s">
        <v>78</v>
      </c>
      <c r="E271" s="1" t="s">
        <v>84</v>
      </c>
      <c r="F271" s="1" t="str">
        <f t="shared" si="110"/>
        <v>205</v>
      </c>
      <c r="G271" s="1" t="str">
        <f t="shared" si="111"/>
        <v>65</v>
      </c>
      <c r="H271" s="1" t="str">
        <f t="shared" si="112"/>
        <v>16</v>
      </c>
      <c r="I271" s="1" t="s">
        <v>31</v>
      </c>
      <c r="J271" s="1" t="s">
        <v>50</v>
      </c>
      <c r="K271" s="1" t="s">
        <v>64</v>
      </c>
      <c r="L271" s="1" t="s">
        <v>86</v>
      </c>
      <c r="M271" s="2">
        <v>6</v>
      </c>
      <c r="N271" s="5">
        <f t="shared" si="100"/>
        <v>5052.1500000000005</v>
      </c>
      <c r="O271" s="1">
        <v>230</v>
      </c>
      <c r="P271" s="1">
        <v>80</v>
      </c>
      <c r="Q271" s="1">
        <v>6</v>
      </c>
      <c r="R271" s="3">
        <v>0.96137234061623178</v>
      </c>
      <c r="S271" s="4">
        <v>0.1178870537634483</v>
      </c>
      <c r="T271" s="3">
        <v>0.60944758654041953</v>
      </c>
      <c r="U271" s="9">
        <v>45972</v>
      </c>
    </row>
    <row r="272" spans="1:21">
      <c r="A272" s="1">
        <v>271</v>
      </c>
      <c r="B272" s="1" t="s">
        <v>29</v>
      </c>
      <c r="C272" s="1" t="s">
        <v>69</v>
      </c>
      <c r="D272" s="1" t="s">
        <v>78</v>
      </c>
      <c r="E272" s="1" t="s">
        <v>84</v>
      </c>
      <c r="F272" s="1" t="str">
        <f t="shared" si="110"/>
        <v>205</v>
      </c>
      <c r="G272" s="1" t="str">
        <f t="shared" si="111"/>
        <v>65</v>
      </c>
      <c r="H272" s="1" t="str">
        <f t="shared" si="112"/>
        <v>16</v>
      </c>
      <c r="I272" s="1" t="s">
        <v>31</v>
      </c>
      <c r="J272" s="1" t="s">
        <v>50</v>
      </c>
      <c r="K272" s="1" t="s">
        <v>64</v>
      </c>
      <c r="L272" s="1" t="s">
        <v>82</v>
      </c>
      <c r="M272" s="2">
        <v>6</v>
      </c>
      <c r="N272" s="5">
        <f t="shared" si="100"/>
        <v>5052.1500000000005</v>
      </c>
      <c r="O272" s="1">
        <v>230</v>
      </c>
      <c r="P272" s="1">
        <v>80</v>
      </c>
      <c r="Q272" s="1">
        <v>1</v>
      </c>
      <c r="R272" s="3">
        <v>0.92285125741984741</v>
      </c>
      <c r="S272" s="4">
        <v>0.17298421237221151</v>
      </c>
      <c r="T272" s="3">
        <v>0.63211758586981881</v>
      </c>
      <c r="U272" s="9">
        <v>45972</v>
      </c>
    </row>
    <row r="273" spans="1:21">
      <c r="A273" s="1">
        <v>272</v>
      </c>
      <c r="B273" s="1" t="s">
        <v>29</v>
      </c>
      <c r="C273" s="1" t="s">
        <v>69</v>
      </c>
      <c r="D273" s="1" t="s">
        <v>78</v>
      </c>
      <c r="E273" s="1" t="s">
        <v>84</v>
      </c>
      <c r="F273" s="1" t="str">
        <f t="shared" si="110"/>
        <v>205</v>
      </c>
      <c r="G273" s="1" t="str">
        <f t="shared" si="111"/>
        <v>65</v>
      </c>
      <c r="H273" s="1" t="str">
        <f t="shared" si="112"/>
        <v>16</v>
      </c>
      <c r="I273" s="1" t="s">
        <v>31</v>
      </c>
      <c r="J273" s="1" t="s">
        <v>50</v>
      </c>
      <c r="K273" s="1" t="s">
        <v>64</v>
      </c>
      <c r="L273" s="1" t="s">
        <v>82</v>
      </c>
      <c r="M273" s="2">
        <v>6</v>
      </c>
      <c r="N273" s="5">
        <f t="shared" si="100"/>
        <v>5052.1500000000005</v>
      </c>
      <c r="O273" s="1">
        <v>230</v>
      </c>
      <c r="P273" s="1">
        <v>80</v>
      </c>
      <c r="Q273" s="1">
        <v>2</v>
      </c>
      <c r="R273" s="3">
        <v>0.94087597121527211</v>
      </c>
      <c r="S273" s="4">
        <v>0.15350772325534781</v>
      </c>
      <c r="T273" s="3">
        <v>0.60203685367572157</v>
      </c>
      <c r="U273" s="9">
        <v>45972</v>
      </c>
    </row>
    <row r="274" spans="1:21">
      <c r="A274" s="1">
        <v>273</v>
      </c>
      <c r="B274" s="1" t="s">
        <v>29</v>
      </c>
      <c r="C274" s="1" t="s">
        <v>69</v>
      </c>
      <c r="D274" s="1" t="s">
        <v>78</v>
      </c>
      <c r="E274" s="1" t="s">
        <v>84</v>
      </c>
      <c r="F274" s="1" t="str">
        <f t="shared" si="110"/>
        <v>205</v>
      </c>
      <c r="G274" s="1" t="str">
        <f t="shared" si="111"/>
        <v>65</v>
      </c>
      <c r="H274" s="1" t="str">
        <f t="shared" si="112"/>
        <v>16</v>
      </c>
      <c r="I274" s="1" t="s">
        <v>31</v>
      </c>
      <c r="J274" s="1" t="s">
        <v>50</v>
      </c>
      <c r="K274" s="1" t="s">
        <v>64</v>
      </c>
      <c r="L274" s="1" t="s">
        <v>82</v>
      </c>
      <c r="M274" s="2">
        <v>6</v>
      </c>
      <c r="N274" s="5">
        <f t="shared" si="100"/>
        <v>5052.1500000000005</v>
      </c>
      <c r="O274" s="1">
        <v>230</v>
      </c>
      <c r="P274" s="1">
        <v>80</v>
      </c>
      <c r="Q274" s="1">
        <v>3</v>
      </c>
      <c r="R274" s="3">
        <v>0.97983144721948423</v>
      </c>
      <c r="S274" s="4">
        <v>0.1426351116066665</v>
      </c>
      <c r="T274" s="3">
        <v>0.64330769223723472</v>
      </c>
      <c r="U274" s="9">
        <v>45972</v>
      </c>
    </row>
    <row r="275" spans="1:21">
      <c r="A275" s="1">
        <v>274</v>
      </c>
      <c r="B275" s="1" t="s">
        <v>29</v>
      </c>
      <c r="C275" s="1" t="s">
        <v>69</v>
      </c>
      <c r="D275" s="1" t="s">
        <v>78</v>
      </c>
      <c r="E275" s="1" t="s">
        <v>84</v>
      </c>
      <c r="F275" s="1" t="str">
        <f t="shared" si="110"/>
        <v>205</v>
      </c>
      <c r="G275" s="1" t="str">
        <f t="shared" si="111"/>
        <v>65</v>
      </c>
      <c r="H275" s="1" t="str">
        <f t="shared" si="112"/>
        <v>16</v>
      </c>
      <c r="I275" s="1" t="s">
        <v>31</v>
      </c>
      <c r="J275" s="1" t="s">
        <v>50</v>
      </c>
      <c r="K275" s="1" t="s">
        <v>64</v>
      </c>
      <c r="L275" s="1" t="s">
        <v>82</v>
      </c>
      <c r="M275" s="2">
        <v>6</v>
      </c>
      <c r="N275" s="5">
        <f t="shared" si="100"/>
        <v>5052.1500000000005</v>
      </c>
      <c r="O275" s="1">
        <v>230</v>
      </c>
      <c r="P275" s="1">
        <v>80</v>
      </c>
      <c r="Q275" s="1">
        <v>4</v>
      </c>
      <c r="R275" s="3">
        <v>0.95546928967475875</v>
      </c>
      <c r="S275" s="4">
        <v>0.1252756562683118</v>
      </c>
      <c r="T275" s="3">
        <v>0.62961647137194487</v>
      </c>
      <c r="U275" s="9">
        <v>45972</v>
      </c>
    </row>
    <row r="276" spans="1:21">
      <c r="A276" s="1">
        <v>275</v>
      </c>
      <c r="B276" s="1" t="s">
        <v>29</v>
      </c>
      <c r="C276" s="1" t="s">
        <v>69</v>
      </c>
      <c r="D276" s="1" t="s">
        <v>78</v>
      </c>
      <c r="E276" s="1" t="s">
        <v>84</v>
      </c>
      <c r="F276" s="1" t="str">
        <f t="shared" si="110"/>
        <v>205</v>
      </c>
      <c r="G276" s="1" t="str">
        <f t="shared" si="111"/>
        <v>65</v>
      </c>
      <c r="H276" s="1" t="str">
        <f t="shared" si="112"/>
        <v>16</v>
      </c>
      <c r="I276" s="1" t="s">
        <v>31</v>
      </c>
      <c r="J276" s="1" t="s">
        <v>50</v>
      </c>
      <c r="K276" s="1" t="s">
        <v>64</v>
      </c>
      <c r="L276" s="1" t="s">
        <v>82</v>
      </c>
      <c r="M276" s="2">
        <v>6</v>
      </c>
      <c r="N276" s="5">
        <f t="shared" si="100"/>
        <v>5052.1500000000005</v>
      </c>
      <c r="O276" s="1">
        <v>230</v>
      </c>
      <c r="P276" s="1">
        <v>80</v>
      </c>
      <c r="Q276" s="1">
        <v>5</v>
      </c>
      <c r="R276" s="3">
        <v>0.91334338319768182</v>
      </c>
      <c r="S276" s="4">
        <v>0.18285302679092191</v>
      </c>
      <c r="T276" s="3">
        <v>0.63841143551319257</v>
      </c>
      <c r="U276" s="9">
        <v>45972</v>
      </c>
    </row>
    <row r="277" spans="1:21">
      <c r="A277" s="1">
        <v>276</v>
      </c>
      <c r="B277" s="1" t="s">
        <v>29</v>
      </c>
      <c r="C277" s="1" t="s">
        <v>69</v>
      </c>
      <c r="D277" s="1" t="s">
        <v>78</v>
      </c>
      <c r="E277" s="1" t="s">
        <v>84</v>
      </c>
      <c r="F277" s="1" t="str">
        <f t="shared" si="110"/>
        <v>205</v>
      </c>
      <c r="G277" s="1" t="str">
        <f t="shared" si="111"/>
        <v>65</v>
      </c>
      <c r="H277" s="1" t="str">
        <f t="shared" si="112"/>
        <v>16</v>
      </c>
      <c r="I277" s="1" t="s">
        <v>31</v>
      </c>
      <c r="J277" s="1" t="s">
        <v>50</v>
      </c>
      <c r="K277" s="1" t="s">
        <v>64</v>
      </c>
      <c r="L277" s="1" t="s">
        <v>82</v>
      </c>
      <c r="M277" s="2">
        <v>6</v>
      </c>
      <c r="N277" s="5">
        <f t="shared" si="100"/>
        <v>5052.1500000000005</v>
      </c>
      <c r="O277" s="1">
        <v>230</v>
      </c>
      <c r="P277" s="1">
        <v>80</v>
      </c>
      <c r="Q277" s="1">
        <v>6</v>
      </c>
      <c r="R277" s="3">
        <v>0.95132109603847292</v>
      </c>
      <c r="S277" s="4">
        <v>0.17272542445515959</v>
      </c>
      <c r="T277" s="3">
        <v>0.63530817114190541</v>
      </c>
      <c r="U277" s="9">
        <v>45972</v>
      </c>
    </row>
    <row r="278" spans="1:21">
      <c r="A278" s="1">
        <v>277</v>
      </c>
      <c r="B278" s="1" t="s">
        <v>21</v>
      </c>
      <c r="C278" s="1" t="s">
        <v>37</v>
      </c>
      <c r="D278" s="1" t="s">
        <v>87</v>
      </c>
      <c r="E278" s="1" t="s">
        <v>88</v>
      </c>
      <c r="F278" s="1" t="str">
        <f t="shared" si="110"/>
        <v>225</v>
      </c>
      <c r="G278" s="1" t="str">
        <f t="shared" si="111"/>
        <v>55</v>
      </c>
      <c r="H278" s="1" t="str">
        <f t="shared" si="112"/>
        <v>18</v>
      </c>
      <c r="I278" s="1" t="s">
        <v>89</v>
      </c>
      <c r="J278" s="1" t="s">
        <v>90</v>
      </c>
      <c r="K278" s="1" t="s">
        <v>91</v>
      </c>
      <c r="L278" s="1" t="s">
        <v>42</v>
      </c>
      <c r="M278" s="2">
        <v>7.5</v>
      </c>
      <c r="N278" s="5">
        <f>750*9.81</f>
        <v>7357.5</v>
      </c>
      <c r="O278" s="1">
        <v>250</v>
      </c>
      <c r="P278" s="1">
        <v>80</v>
      </c>
      <c r="Q278" s="1">
        <v>1</v>
      </c>
      <c r="R278" s="3">
        <v>0.74417157263222422</v>
      </c>
      <c r="S278" s="4">
        <v>0.12217384922588211</v>
      </c>
      <c r="T278" s="3">
        <v>0.64123890218458912</v>
      </c>
      <c r="U278" s="9">
        <v>45965</v>
      </c>
    </row>
    <row r="279" spans="1:21">
      <c r="A279" s="1">
        <v>278</v>
      </c>
      <c r="B279" s="1" t="s">
        <v>21</v>
      </c>
      <c r="C279" s="1" t="s">
        <v>37</v>
      </c>
      <c r="D279" s="1" t="s">
        <v>87</v>
      </c>
      <c r="E279" s="1" t="s">
        <v>88</v>
      </c>
      <c r="F279" s="1" t="str">
        <f t="shared" ref="F279:F301" si="113">LEFT(E279,3)</f>
        <v>225</v>
      </c>
      <c r="G279" s="1" t="str">
        <f t="shared" ref="G279:G301" si="114">MID(E279,5,2)</f>
        <v>55</v>
      </c>
      <c r="H279" s="1" t="str">
        <f t="shared" ref="H279:H301" si="115">MID(E279,8,2)</f>
        <v>18</v>
      </c>
      <c r="I279" s="1" t="s">
        <v>89</v>
      </c>
      <c r="J279" s="1" t="s">
        <v>90</v>
      </c>
      <c r="K279" s="1" t="s">
        <v>91</v>
      </c>
      <c r="L279" s="1" t="s">
        <v>42</v>
      </c>
      <c r="M279" s="2">
        <v>7.5</v>
      </c>
      <c r="N279" s="5">
        <f t="shared" ref="N279:N333" si="116">750*9.81</f>
        <v>7357.5</v>
      </c>
      <c r="O279" s="1">
        <v>250</v>
      </c>
      <c r="P279" s="1">
        <v>80</v>
      </c>
      <c r="Q279" s="1">
        <v>2</v>
      </c>
      <c r="R279" s="3">
        <v>0.8139812588602684</v>
      </c>
      <c r="S279" s="4">
        <v>0.1049148715386416</v>
      </c>
      <c r="T279" s="3">
        <v>0.67124356728760148</v>
      </c>
      <c r="U279" s="9">
        <v>45965</v>
      </c>
    </row>
    <row r="280" spans="1:21">
      <c r="A280" s="1">
        <v>279</v>
      </c>
      <c r="B280" s="1" t="s">
        <v>21</v>
      </c>
      <c r="C280" s="1" t="s">
        <v>37</v>
      </c>
      <c r="D280" s="1" t="s">
        <v>87</v>
      </c>
      <c r="E280" s="1" t="s">
        <v>88</v>
      </c>
      <c r="F280" s="1" t="str">
        <f t="shared" si="113"/>
        <v>225</v>
      </c>
      <c r="G280" s="1" t="str">
        <f t="shared" si="114"/>
        <v>55</v>
      </c>
      <c r="H280" s="1" t="str">
        <f t="shared" si="115"/>
        <v>18</v>
      </c>
      <c r="I280" s="1" t="s">
        <v>89</v>
      </c>
      <c r="J280" s="1" t="s">
        <v>90</v>
      </c>
      <c r="K280" s="1" t="s">
        <v>91</v>
      </c>
      <c r="L280" s="1" t="s">
        <v>42</v>
      </c>
      <c r="M280" s="2">
        <v>7.5</v>
      </c>
      <c r="N280" s="5">
        <f t="shared" si="116"/>
        <v>7357.5</v>
      </c>
      <c r="O280" s="1">
        <v>250</v>
      </c>
      <c r="P280" s="1">
        <v>80</v>
      </c>
      <c r="Q280" s="1">
        <v>3</v>
      </c>
      <c r="R280" s="3">
        <v>0.72711331385460065</v>
      </c>
      <c r="S280" s="4">
        <v>0.1591696403537893</v>
      </c>
      <c r="T280" s="3">
        <v>0.52045550448121547</v>
      </c>
      <c r="U280" s="9">
        <v>45965</v>
      </c>
    </row>
    <row r="281" spans="1:21">
      <c r="A281" s="1">
        <v>280</v>
      </c>
      <c r="B281" s="1" t="s">
        <v>21</v>
      </c>
      <c r="C281" s="1" t="s">
        <v>37</v>
      </c>
      <c r="D281" s="1" t="s">
        <v>87</v>
      </c>
      <c r="E281" s="1" t="s">
        <v>88</v>
      </c>
      <c r="F281" s="1" t="str">
        <f t="shared" si="113"/>
        <v>225</v>
      </c>
      <c r="G281" s="1" t="str">
        <f t="shared" si="114"/>
        <v>55</v>
      </c>
      <c r="H281" s="1" t="str">
        <f t="shared" si="115"/>
        <v>18</v>
      </c>
      <c r="I281" s="1" t="s">
        <v>89</v>
      </c>
      <c r="J281" s="1" t="s">
        <v>90</v>
      </c>
      <c r="K281" s="1" t="s">
        <v>91</v>
      </c>
      <c r="L281" s="1" t="s">
        <v>42</v>
      </c>
      <c r="M281" s="2">
        <v>7.5</v>
      </c>
      <c r="N281" s="5">
        <f t="shared" si="116"/>
        <v>7357.5</v>
      </c>
      <c r="O281" s="1">
        <v>250</v>
      </c>
      <c r="P281" s="1">
        <v>80</v>
      </c>
      <c r="Q281" s="1">
        <v>4</v>
      </c>
      <c r="R281" s="3">
        <v>0.83416810643168837</v>
      </c>
      <c r="S281" s="4">
        <v>8.5249278278099735E-2</v>
      </c>
      <c r="T281" s="3">
        <v>0.50378464130591172</v>
      </c>
      <c r="U281" s="9">
        <v>45965</v>
      </c>
    </row>
    <row r="282" spans="1:21">
      <c r="A282" s="1">
        <v>281</v>
      </c>
      <c r="B282" s="1" t="s">
        <v>21</v>
      </c>
      <c r="C282" s="1" t="s">
        <v>37</v>
      </c>
      <c r="D282" s="1" t="s">
        <v>87</v>
      </c>
      <c r="E282" s="1" t="s">
        <v>88</v>
      </c>
      <c r="F282" s="1" t="str">
        <f t="shared" si="113"/>
        <v>225</v>
      </c>
      <c r="G282" s="1" t="str">
        <f t="shared" si="114"/>
        <v>55</v>
      </c>
      <c r="H282" s="1" t="str">
        <f t="shared" si="115"/>
        <v>18</v>
      </c>
      <c r="I282" s="1" t="s">
        <v>89</v>
      </c>
      <c r="J282" s="1" t="s">
        <v>90</v>
      </c>
      <c r="K282" s="1" t="s">
        <v>91</v>
      </c>
      <c r="L282" s="1" t="s">
        <v>42</v>
      </c>
      <c r="M282" s="2">
        <v>7.5</v>
      </c>
      <c r="N282" s="5">
        <f t="shared" si="116"/>
        <v>7357.5</v>
      </c>
      <c r="O282" s="1">
        <v>250</v>
      </c>
      <c r="P282" s="1">
        <v>80</v>
      </c>
      <c r="Q282" s="1">
        <v>5</v>
      </c>
      <c r="R282" s="3">
        <v>0.78356543858822181</v>
      </c>
      <c r="S282" s="4">
        <v>9.0137331452395636E-2</v>
      </c>
      <c r="T282" s="3">
        <v>0.51796098166335525</v>
      </c>
      <c r="U282" s="9">
        <v>45965</v>
      </c>
    </row>
    <row r="283" spans="1:21">
      <c r="A283" s="1">
        <v>282</v>
      </c>
      <c r="B283" s="1" t="s">
        <v>21</v>
      </c>
      <c r="C283" s="1" t="s">
        <v>37</v>
      </c>
      <c r="D283" s="1" t="s">
        <v>87</v>
      </c>
      <c r="E283" s="1" t="s">
        <v>88</v>
      </c>
      <c r="F283" s="1" t="str">
        <f t="shared" si="113"/>
        <v>225</v>
      </c>
      <c r="G283" s="1" t="str">
        <f t="shared" si="114"/>
        <v>55</v>
      </c>
      <c r="H283" s="1" t="str">
        <f t="shared" si="115"/>
        <v>18</v>
      </c>
      <c r="I283" s="1" t="s">
        <v>89</v>
      </c>
      <c r="J283" s="1" t="s">
        <v>90</v>
      </c>
      <c r="K283" s="1" t="s">
        <v>91</v>
      </c>
      <c r="L283" s="1" t="s">
        <v>42</v>
      </c>
      <c r="M283" s="2">
        <v>7.5</v>
      </c>
      <c r="N283" s="5">
        <f t="shared" si="116"/>
        <v>7357.5</v>
      </c>
      <c r="O283" s="1">
        <v>250</v>
      </c>
      <c r="P283" s="1">
        <v>80</v>
      </c>
      <c r="Q283" s="1">
        <v>6</v>
      </c>
      <c r="R283" s="3">
        <v>0.79873619505480598</v>
      </c>
      <c r="S283" s="4">
        <v>0.1090921014670219</v>
      </c>
      <c r="T283" s="3">
        <v>0.4853477829628921</v>
      </c>
      <c r="U283" s="9">
        <v>45965</v>
      </c>
    </row>
    <row r="284" spans="1:21">
      <c r="A284" s="1">
        <v>283</v>
      </c>
      <c r="B284" s="1" t="s">
        <v>29</v>
      </c>
      <c r="C284" s="1" t="s">
        <v>37</v>
      </c>
      <c r="D284" s="1" t="s">
        <v>87</v>
      </c>
      <c r="E284" s="1" t="s">
        <v>88</v>
      </c>
      <c r="F284" s="1" t="str">
        <f t="shared" si="113"/>
        <v>225</v>
      </c>
      <c r="G284" s="1" t="str">
        <f t="shared" si="114"/>
        <v>55</v>
      </c>
      <c r="H284" s="1" t="str">
        <f t="shared" si="115"/>
        <v>18</v>
      </c>
      <c r="I284" s="1" t="s">
        <v>89</v>
      </c>
      <c r="J284" s="1" t="s">
        <v>90</v>
      </c>
      <c r="K284" s="1" t="s">
        <v>91</v>
      </c>
      <c r="L284" s="1" t="s">
        <v>42</v>
      </c>
      <c r="M284" s="2">
        <v>7.5</v>
      </c>
      <c r="N284" s="5">
        <f t="shared" si="116"/>
        <v>7357.5</v>
      </c>
      <c r="O284" s="1">
        <v>250</v>
      </c>
      <c r="P284" s="1">
        <v>80</v>
      </c>
      <c r="Q284" s="1">
        <v>1</v>
      </c>
      <c r="R284" s="3">
        <v>0.97859166600916114</v>
      </c>
      <c r="S284" s="4">
        <v>0.13439955119228081</v>
      </c>
      <c r="T284" s="3">
        <v>0.59179570254278135</v>
      </c>
      <c r="U284" s="9">
        <v>45965</v>
      </c>
    </row>
    <row r="285" spans="1:21">
      <c r="A285" s="1">
        <v>284</v>
      </c>
      <c r="B285" s="1" t="s">
        <v>29</v>
      </c>
      <c r="C285" s="1" t="s">
        <v>37</v>
      </c>
      <c r="D285" s="1" t="s">
        <v>87</v>
      </c>
      <c r="E285" s="1" t="s">
        <v>88</v>
      </c>
      <c r="F285" s="1" t="str">
        <f t="shared" si="113"/>
        <v>225</v>
      </c>
      <c r="G285" s="1" t="str">
        <f t="shared" si="114"/>
        <v>55</v>
      </c>
      <c r="H285" s="1" t="str">
        <f t="shared" si="115"/>
        <v>18</v>
      </c>
      <c r="I285" s="1" t="s">
        <v>89</v>
      </c>
      <c r="J285" s="1" t="s">
        <v>90</v>
      </c>
      <c r="K285" s="1" t="s">
        <v>91</v>
      </c>
      <c r="L285" s="1" t="s">
        <v>42</v>
      </c>
      <c r="M285" s="2">
        <v>7.5</v>
      </c>
      <c r="N285" s="5">
        <f t="shared" si="116"/>
        <v>7357.5</v>
      </c>
      <c r="O285" s="1">
        <v>250</v>
      </c>
      <c r="P285" s="1">
        <v>80</v>
      </c>
      <c r="Q285" s="1">
        <v>2</v>
      </c>
      <c r="R285" s="3">
        <v>0.94037934217069341</v>
      </c>
      <c r="S285" s="4">
        <v>0.15820021835665429</v>
      </c>
      <c r="T285" s="3">
        <v>0.62932479858381796</v>
      </c>
      <c r="U285" s="9">
        <v>45965</v>
      </c>
    </row>
    <row r="286" spans="1:21">
      <c r="A286" s="1">
        <v>285</v>
      </c>
      <c r="B286" s="1" t="s">
        <v>29</v>
      </c>
      <c r="C286" s="1" t="s">
        <v>37</v>
      </c>
      <c r="D286" s="1" t="s">
        <v>87</v>
      </c>
      <c r="E286" s="1" t="s">
        <v>88</v>
      </c>
      <c r="F286" s="1" t="str">
        <f t="shared" si="113"/>
        <v>225</v>
      </c>
      <c r="G286" s="1" t="str">
        <f t="shared" si="114"/>
        <v>55</v>
      </c>
      <c r="H286" s="1" t="str">
        <f t="shared" si="115"/>
        <v>18</v>
      </c>
      <c r="I286" s="1" t="s">
        <v>89</v>
      </c>
      <c r="J286" s="1" t="s">
        <v>90</v>
      </c>
      <c r="K286" s="1" t="s">
        <v>91</v>
      </c>
      <c r="L286" s="1" t="s">
        <v>42</v>
      </c>
      <c r="M286" s="2">
        <v>7.5</v>
      </c>
      <c r="N286" s="5">
        <f t="shared" si="116"/>
        <v>7357.5</v>
      </c>
      <c r="O286" s="1">
        <v>250</v>
      </c>
      <c r="P286" s="1">
        <v>80</v>
      </c>
      <c r="Q286" s="1">
        <v>3</v>
      </c>
      <c r="R286" s="3">
        <v>0.91707054898880747</v>
      </c>
      <c r="S286" s="4">
        <v>0.1200739556670181</v>
      </c>
      <c r="T286" s="3">
        <v>0.58898753474766541</v>
      </c>
      <c r="U286" s="9">
        <v>45965</v>
      </c>
    </row>
    <row r="287" spans="1:21">
      <c r="A287" s="1">
        <v>286</v>
      </c>
      <c r="B287" s="1" t="s">
        <v>29</v>
      </c>
      <c r="C287" s="1" t="s">
        <v>37</v>
      </c>
      <c r="D287" s="1" t="s">
        <v>87</v>
      </c>
      <c r="E287" s="1" t="s">
        <v>88</v>
      </c>
      <c r="F287" s="1" t="str">
        <f t="shared" si="113"/>
        <v>225</v>
      </c>
      <c r="G287" s="1" t="str">
        <f t="shared" si="114"/>
        <v>55</v>
      </c>
      <c r="H287" s="1" t="str">
        <f t="shared" si="115"/>
        <v>18</v>
      </c>
      <c r="I287" s="1" t="s">
        <v>89</v>
      </c>
      <c r="J287" s="1" t="s">
        <v>90</v>
      </c>
      <c r="K287" s="1" t="s">
        <v>91</v>
      </c>
      <c r="L287" s="1" t="s">
        <v>42</v>
      </c>
      <c r="M287" s="2">
        <v>7.5</v>
      </c>
      <c r="N287" s="5">
        <f t="shared" si="116"/>
        <v>7357.5</v>
      </c>
      <c r="O287" s="1">
        <v>250</v>
      </c>
      <c r="P287" s="1">
        <v>80</v>
      </c>
      <c r="Q287" s="1">
        <v>4</v>
      </c>
      <c r="R287" s="3">
        <v>0.95807562627996889</v>
      </c>
      <c r="S287" s="4">
        <v>0.17013254498620969</v>
      </c>
      <c r="T287" s="3">
        <v>0.71889001247054662</v>
      </c>
      <c r="U287" s="9">
        <v>45965</v>
      </c>
    </row>
    <row r="288" spans="1:21">
      <c r="A288" s="1">
        <v>287</v>
      </c>
      <c r="B288" s="1" t="s">
        <v>29</v>
      </c>
      <c r="C288" s="1" t="s">
        <v>37</v>
      </c>
      <c r="D288" s="1" t="s">
        <v>87</v>
      </c>
      <c r="E288" s="1" t="s">
        <v>88</v>
      </c>
      <c r="F288" s="1" t="str">
        <f t="shared" si="113"/>
        <v>225</v>
      </c>
      <c r="G288" s="1" t="str">
        <f t="shared" si="114"/>
        <v>55</v>
      </c>
      <c r="H288" s="1" t="str">
        <f t="shared" si="115"/>
        <v>18</v>
      </c>
      <c r="I288" s="1" t="s">
        <v>89</v>
      </c>
      <c r="J288" s="1" t="s">
        <v>90</v>
      </c>
      <c r="K288" s="1" t="s">
        <v>91</v>
      </c>
      <c r="L288" s="1" t="s">
        <v>42</v>
      </c>
      <c r="M288" s="2">
        <v>7.5</v>
      </c>
      <c r="N288" s="5">
        <f t="shared" si="116"/>
        <v>7357.5</v>
      </c>
      <c r="O288" s="1">
        <v>250</v>
      </c>
      <c r="P288" s="1">
        <v>80</v>
      </c>
      <c r="Q288" s="1">
        <v>5</v>
      </c>
      <c r="R288" s="3">
        <v>0.99234882898673926</v>
      </c>
      <c r="S288" s="4">
        <v>0.101833642545096</v>
      </c>
      <c r="T288" s="3">
        <v>0.64569235929558333</v>
      </c>
      <c r="U288" s="9">
        <v>45965</v>
      </c>
    </row>
    <row r="289" spans="1:21">
      <c r="A289" s="1">
        <v>288</v>
      </c>
      <c r="B289" s="1" t="s">
        <v>21</v>
      </c>
      <c r="C289" s="1" t="s">
        <v>37</v>
      </c>
      <c r="D289" s="1" t="s">
        <v>87</v>
      </c>
      <c r="E289" s="1" t="s">
        <v>88</v>
      </c>
      <c r="F289" s="1" t="str">
        <f t="shared" si="113"/>
        <v>225</v>
      </c>
      <c r="G289" s="1" t="str">
        <f t="shared" si="114"/>
        <v>55</v>
      </c>
      <c r="H289" s="1" t="str">
        <f t="shared" si="115"/>
        <v>18</v>
      </c>
      <c r="I289" s="1" t="s">
        <v>89</v>
      </c>
      <c r="J289" s="1" t="s">
        <v>90</v>
      </c>
      <c r="K289" s="1" t="s">
        <v>85</v>
      </c>
      <c r="L289" s="1" t="s">
        <v>42</v>
      </c>
      <c r="M289" s="2">
        <v>7.5</v>
      </c>
      <c r="N289" s="5">
        <f t="shared" si="116"/>
        <v>7357.5</v>
      </c>
      <c r="O289" s="1">
        <v>250</v>
      </c>
      <c r="P289" s="1">
        <v>80</v>
      </c>
      <c r="Q289" s="1">
        <v>1</v>
      </c>
      <c r="R289" s="3">
        <v>0.74943427934932638</v>
      </c>
      <c r="S289" s="4">
        <v>0.16064705797690701</v>
      </c>
      <c r="T289" s="3">
        <v>0.496497031828942</v>
      </c>
      <c r="U289" s="9">
        <v>45965</v>
      </c>
    </row>
    <row r="290" spans="1:21">
      <c r="A290" s="1">
        <v>289</v>
      </c>
      <c r="B290" s="1" t="s">
        <v>21</v>
      </c>
      <c r="C290" s="1" t="s">
        <v>37</v>
      </c>
      <c r="D290" s="1" t="s">
        <v>87</v>
      </c>
      <c r="E290" s="1" t="s">
        <v>88</v>
      </c>
      <c r="F290" s="1" t="str">
        <f t="shared" si="113"/>
        <v>225</v>
      </c>
      <c r="G290" s="1" t="str">
        <f t="shared" si="114"/>
        <v>55</v>
      </c>
      <c r="H290" s="1" t="str">
        <f t="shared" si="115"/>
        <v>18</v>
      </c>
      <c r="I290" s="1" t="s">
        <v>89</v>
      </c>
      <c r="J290" s="1" t="s">
        <v>90</v>
      </c>
      <c r="K290" s="1" t="s">
        <v>85</v>
      </c>
      <c r="L290" s="1" t="s">
        <v>42</v>
      </c>
      <c r="M290" s="2">
        <v>7.5</v>
      </c>
      <c r="N290" s="5">
        <f t="shared" si="116"/>
        <v>7357.5</v>
      </c>
      <c r="O290" s="1">
        <v>250</v>
      </c>
      <c r="P290" s="1">
        <v>80</v>
      </c>
      <c r="Q290" s="1">
        <v>2</v>
      </c>
      <c r="R290" s="3">
        <v>0.82480237736327544</v>
      </c>
      <c r="S290" s="4">
        <v>0.10379517969257029</v>
      </c>
      <c r="T290" s="3">
        <v>0.46908533883457598</v>
      </c>
      <c r="U290" s="9">
        <v>45965</v>
      </c>
    </row>
    <row r="291" spans="1:21">
      <c r="A291" s="1">
        <v>290</v>
      </c>
      <c r="B291" s="1" t="s">
        <v>21</v>
      </c>
      <c r="C291" s="1" t="s">
        <v>37</v>
      </c>
      <c r="D291" s="1" t="s">
        <v>87</v>
      </c>
      <c r="E291" s="1" t="s">
        <v>88</v>
      </c>
      <c r="F291" s="1" t="str">
        <f t="shared" si="113"/>
        <v>225</v>
      </c>
      <c r="G291" s="1" t="str">
        <f t="shared" si="114"/>
        <v>55</v>
      </c>
      <c r="H291" s="1" t="str">
        <f t="shared" si="115"/>
        <v>18</v>
      </c>
      <c r="I291" s="1" t="s">
        <v>89</v>
      </c>
      <c r="J291" s="1" t="s">
        <v>90</v>
      </c>
      <c r="K291" s="1" t="s">
        <v>85</v>
      </c>
      <c r="L291" s="1" t="s">
        <v>42</v>
      </c>
      <c r="M291" s="2">
        <v>7.5</v>
      </c>
      <c r="N291" s="5">
        <f t="shared" si="116"/>
        <v>7357.5</v>
      </c>
      <c r="O291" s="1">
        <v>250</v>
      </c>
      <c r="P291" s="1">
        <v>80</v>
      </c>
      <c r="Q291" s="1">
        <v>3</v>
      </c>
      <c r="R291" s="3">
        <v>0.82826405597702435</v>
      </c>
      <c r="S291" s="4">
        <v>9.3746575541042099E-2</v>
      </c>
      <c r="T291" s="3">
        <v>0.43405669946658959</v>
      </c>
      <c r="U291" s="9">
        <v>45965</v>
      </c>
    </row>
    <row r="292" spans="1:21">
      <c r="A292" s="1">
        <v>291</v>
      </c>
      <c r="B292" s="1" t="s">
        <v>21</v>
      </c>
      <c r="C292" s="1" t="s">
        <v>37</v>
      </c>
      <c r="D292" s="1" t="s">
        <v>87</v>
      </c>
      <c r="E292" s="1" t="s">
        <v>88</v>
      </c>
      <c r="F292" s="1" t="str">
        <f t="shared" si="113"/>
        <v>225</v>
      </c>
      <c r="G292" s="1" t="str">
        <f t="shared" si="114"/>
        <v>55</v>
      </c>
      <c r="H292" s="1" t="str">
        <f t="shared" si="115"/>
        <v>18</v>
      </c>
      <c r="I292" s="1" t="s">
        <v>89</v>
      </c>
      <c r="J292" s="1" t="s">
        <v>90</v>
      </c>
      <c r="K292" s="1" t="s">
        <v>85</v>
      </c>
      <c r="L292" s="1" t="s">
        <v>42</v>
      </c>
      <c r="M292" s="2">
        <v>7.5</v>
      </c>
      <c r="N292" s="5">
        <f t="shared" si="116"/>
        <v>7357.5</v>
      </c>
      <c r="O292" s="1">
        <v>250</v>
      </c>
      <c r="P292" s="1">
        <v>80</v>
      </c>
      <c r="Q292" s="1">
        <v>4</v>
      </c>
      <c r="R292" s="3">
        <v>0.88884811570417777</v>
      </c>
      <c r="S292" s="4">
        <v>9.686590833161017E-2</v>
      </c>
      <c r="T292" s="3">
        <v>0.48007510952357291</v>
      </c>
      <c r="U292" s="9">
        <v>45965</v>
      </c>
    </row>
    <row r="293" spans="1:21">
      <c r="A293" s="1">
        <v>292</v>
      </c>
      <c r="B293" s="1" t="s">
        <v>21</v>
      </c>
      <c r="C293" s="1" t="s">
        <v>37</v>
      </c>
      <c r="D293" s="1" t="s">
        <v>87</v>
      </c>
      <c r="E293" s="1" t="s">
        <v>88</v>
      </c>
      <c r="F293" s="1" t="str">
        <f t="shared" si="113"/>
        <v>225</v>
      </c>
      <c r="G293" s="1" t="str">
        <f t="shared" si="114"/>
        <v>55</v>
      </c>
      <c r="H293" s="1" t="str">
        <f t="shared" si="115"/>
        <v>18</v>
      </c>
      <c r="I293" s="1" t="s">
        <v>89</v>
      </c>
      <c r="J293" s="1" t="s">
        <v>90</v>
      </c>
      <c r="K293" s="1" t="s">
        <v>85</v>
      </c>
      <c r="L293" s="1" t="s">
        <v>42</v>
      </c>
      <c r="M293" s="2">
        <v>7.5</v>
      </c>
      <c r="N293" s="5">
        <f t="shared" si="116"/>
        <v>7357.5</v>
      </c>
      <c r="O293" s="1">
        <v>250</v>
      </c>
      <c r="P293" s="1">
        <v>80</v>
      </c>
      <c r="Q293" s="1">
        <v>5</v>
      </c>
      <c r="R293" s="3">
        <v>0.73716301300471421</v>
      </c>
      <c r="S293" s="4">
        <v>0.1146580155323301</v>
      </c>
      <c r="T293" s="3">
        <v>0.47778181578040962</v>
      </c>
      <c r="U293" s="9">
        <v>45965</v>
      </c>
    </row>
    <row r="294" spans="1:21">
      <c r="A294" s="1">
        <v>293</v>
      </c>
      <c r="B294" s="1" t="s">
        <v>29</v>
      </c>
      <c r="C294" s="1" t="s">
        <v>37</v>
      </c>
      <c r="D294" s="1" t="s">
        <v>87</v>
      </c>
      <c r="E294" s="1" t="s">
        <v>88</v>
      </c>
      <c r="F294" s="1" t="str">
        <f t="shared" si="113"/>
        <v>225</v>
      </c>
      <c r="G294" s="1" t="str">
        <f t="shared" si="114"/>
        <v>55</v>
      </c>
      <c r="H294" s="1" t="str">
        <f t="shared" si="115"/>
        <v>18</v>
      </c>
      <c r="I294" s="1" t="s">
        <v>89</v>
      </c>
      <c r="J294" s="1" t="s">
        <v>90</v>
      </c>
      <c r="K294" s="1" t="s">
        <v>85</v>
      </c>
      <c r="L294" s="1" t="s">
        <v>42</v>
      </c>
      <c r="M294" s="2">
        <v>7.5</v>
      </c>
      <c r="N294" s="5">
        <f t="shared" si="116"/>
        <v>7357.5</v>
      </c>
      <c r="O294" s="1">
        <v>250</v>
      </c>
      <c r="P294" s="1">
        <v>80</v>
      </c>
      <c r="Q294" s="1">
        <v>1</v>
      </c>
      <c r="R294" s="3">
        <v>0.92543535849838532</v>
      </c>
      <c r="S294" s="4">
        <v>0.1712191949526754</v>
      </c>
      <c r="T294" s="3">
        <v>0.54889382311475499</v>
      </c>
      <c r="U294" s="9">
        <v>45965</v>
      </c>
    </row>
    <row r="295" spans="1:21">
      <c r="A295" s="1">
        <v>294</v>
      </c>
      <c r="B295" s="1" t="s">
        <v>29</v>
      </c>
      <c r="C295" s="1" t="s">
        <v>37</v>
      </c>
      <c r="D295" s="1" t="s">
        <v>87</v>
      </c>
      <c r="E295" s="1" t="s">
        <v>88</v>
      </c>
      <c r="F295" s="1" t="str">
        <f t="shared" si="113"/>
        <v>225</v>
      </c>
      <c r="G295" s="1" t="str">
        <f t="shared" si="114"/>
        <v>55</v>
      </c>
      <c r="H295" s="1" t="str">
        <f t="shared" si="115"/>
        <v>18</v>
      </c>
      <c r="I295" s="1" t="s">
        <v>89</v>
      </c>
      <c r="J295" s="1" t="s">
        <v>90</v>
      </c>
      <c r="K295" s="1" t="s">
        <v>85</v>
      </c>
      <c r="L295" s="1" t="s">
        <v>42</v>
      </c>
      <c r="M295" s="2">
        <v>7.5</v>
      </c>
      <c r="N295" s="5">
        <f t="shared" si="116"/>
        <v>7357.5</v>
      </c>
      <c r="O295" s="1">
        <v>250</v>
      </c>
      <c r="P295" s="1">
        <v>80</v>
      </c>
      <c r="Q295" s="1">
        <v>2</v>
      </c>
      <c r="R295" s="3">
        <v>0.95470360644571817</v>
      </c>
      <c r="S295" s="4">
        <v>0.21729121784451491</v>
      </c>
      <c r="T295" s="3">
        <v>0.65706681080672202</v>
      </c>
      <c r="U295" s="9">
        <v>45965</v>
      </c>
    </row>
    <row r="296" spans="1:21">
      <c r="A296" s="1">
        <v>295</v>
      </c>
      <c r="B296" s="1" t="s">
        <v>29</v>
      </c>
      <c r="C296" s="1" t="s">
        <v>37</v>
      </c>
      <c r="D296" s="1" t="s">
        <v>87</v>
      </c>
      <c r="E296" s="1" t="s">
        <v>88</v>
      </c>
      <c r="F296" s="1" t="str">
        <f t="shared" si="113"/>
        <v>225</v>
      </c>
      <c r="G296" s="1" t="str">
        <f t="shared" si="114"/>
        <v>55</v>
      </c>
      <c r="H296" s="1" t="str">
        <f t="shared" si="115"/>
        <v>18</v>
      </c>
      <c r="I296" s="1" t="s">
        <v>89</v>
      </c>
      <c r="J296" s="1" t="s">
        <v>90</v>
      </c>
      <c r="K296" s="1" t="s">
        <v>85</v>
      </c>
      <c r="L296" s="1" t="s">
        <v>42</v>
      </c>
      <c r="M296" s="2">
        <v>7.5</v>
      </c>
      <c r="N296" s="5">
        <f t="shared" si="116"/>
        <v>7357.5</v>
      </c>
      <c r="O296" s="1">
        <v>250</v>
      </c>
      <c r="P296" s="1">
        <v>80</v>
      </c>
      <c r="Q296" s="1">
        <v>3</v>
      </c>
      <c r="R296" s="3">
        <v>0.93126321277326962</v>
      </c>
      <c r="S296" s="4">
        <v>0.18473478956735409</v>
      </c>
      <c r="T296" s="3">
        <v>0.57492787408222834</v>
      </c>
      <c r="U296" s="9">
        <v>45965</v>
      </c>
    </row>
    <row r="297" spans="1:21">
      <c r="A297" s="1">
        <v>296</v>
      </c>
      <c r="B297" s="1" t="s">
        <v>29</v>
      </c>
      <c r="C297" s="1" t="s">
        <v>37</v>
      </c>
      <c r="D297" s="1" t="s">
        <v>87</v>
      </c>
      <c r="E297" s="1" t="s">
        <v>88</v>
      </c>
      <c r="F297" s="1" t="str">
        <f t="shared" si="113"/>
        <v>225</v>
      </c>
      <c r="G297" s="1" t="str">
        <f t="shared" si="114"/>
        <v>55</v>
      </c>
      <c r="H297" s="1" t="str">
        <f t="shared" si="115"/>
        <v>18</v>
      </c>
      <c r="I297" s="1" t="s">
        <v>89</v>
      </c>
      <c r="J297" s="1" t="s">
        <v>90</v>
      </c>
      <c r="K297" s="1" t="s">
        <v>85</v>
      </c>
      <c r="L297" s="1" t="s">
        <v>42</v>
      </c>
      <c r="M297" s="2">
        <v>7.5</v>
      </c>
      <c r="N297" s="5">
        <f t="shared" si="116"/>
        <v>7357.5</v>
      </c>
      <c r="O297" s="1">
        <v>250</v>
      </c>
      <c r="P297" s="1">
        <v>80</v>
      </c>
      <c r="Q297" s="1">
        <v>4</v>
      </c>
      <c r="R297" s="3">
        <v>0.92921702130824035</v>
      </c>
      <c r="S297" s="4">
        <v>0.17456430976185511</v>
      </c>
      <c r="T297" s="3">
        <v>0.54457159862051574</v>
      </c>
      <c r="U297" s="9">
        <v>45965</v>
      </c>
    </row>
    <row r="298" spans="1:21">
      <c r="A298" s="1">
        <v>297</v>
      </c>
      <c r="B298" s="1" t="s">
        <v>29</v>
      </c>
      <c r="C298" s="1" t="s">
        <v>37</v>
      </c>
      <c r="D298" s="1" t="s">
        <v>87</v>
      </c>
      <c r="E298" s="1" t="s">
        <v>88</v>
      </c>
      <c r="F298" s="1" t="str">
        <f t="shared" si="113"/>
        <v>225</v>
      </c>
      <c r="G298" s="1" t="str">
        <f t="shared" si="114"/>
        <v>55</v>
      </c>
      <c r="H298" s="1" t="str">
        <f t="shared" si="115"/>
        <v>18</v>
      </c>
      <c r="I298" s="1" t="s">
        <v>89</v>
      </c>
      <c r="J298" s="1" t="s">
        <v>90</v>
      </c>
      <c r="K298" s="1" t="s">
        <v>85</v>
      </c>
      <c r="L298" s="1" t="s">
        <v>42</v>
      </c>
      <c r="M298" s="2">
        <v>7.5</v>
      </c>
      <c r="N298" s="5">
        <f t="shared" si="116"/>
        <v>7357.5</v>
      </c>
      <c r="O298" s="1">
        <v>250</v>
      </c>
      <c r="P298" s="1">
        <v>80</v>
      </c>
      <c r="Q298" s="1">
        <v>5</v>
      </c>
      <c r="R298" s="3">
        <v>0.89546969218803452</v>
      </c>
      <c r="S298" s="4">
        <v>0.2410526523636469</v>
      </c>
      <c r="T298" s="3">
        <v>0.52831509146668876</v>
      </c>
      <c r="U298" s="9">
        <v>45965</v>
      </c>
    </row>
    <row r="299" spans="1:21">
      <c r="A299" s="1">
        <v>298</v>
      </c>
      <c r="B299" s="1" t="s">
        <v>29</v>
      </c>
      <c r="C299" s="1" t="s">
        <v>37</v>
      </c>
      <c r="D299" s="1" t="s">
        <v>87</v>
      </c>
      <c r="E299" s="1" t="s">
        <v>88</v>
      </c>
      <c r="F299" s="1" t="str">
        <f t="shared" si="113"/>
        <v>225</v>
      </c>
      <c r="G299" s="1" t="str">
        <f t="shared" si="114"/>
        <v>55</v>
      </c>
      <c r="H299" s="1" t="str">
        <f t="shared" si="115"/>
        <v>18</v>
      </c>
      <c r="I299" s="1" t="s">
        <v>89</v>
      </c>
      <c r="J299" s="1" t="s">
        <v>90</v>
      </c>
      <c r="K299" s="1" t="s">
        <v>85</v>
      </c>
      <c r="L299" s="1" t="s">
        <v>42</v>
      </c>
      <c r="M299" s="2">
        <v>7.5</v>
      </c>
      <c r="N299" s="5">
        <f t="shared" si="116"/>
        <v>7357.5</v>
      </c>
      <c r="O299" s="1">
        <v>250</v>
      </c>
      <c r="P299" s="1">
        <v>80</v>
      </c>
      <c r="Q299" s="1">
        <v>6</v>
      </c>
      <c r="R299" s="3">
        <v>0.90932576059362624</v>
      </c>
      <c r="S299" s="4">
        <v>0.22656261511172579</v>
      </c>
      <c r="T299" s="3">
        <v>0.57529763167767556</v>
      </c>
      <c r="U299" s="9">
        <v>45965</v>
      </c>
    </row>
    <row r="300" spans="1:21">
      <c r="A300" s="1">
        <v>299</v>
      </c>
      <c r="B300" s="1" t="s">
        <v>21</v>
      </c>
      <c r="C300" s="1" t="s">
        <v>37</v>
      </c>
      <c r="D300" s="1" t="s">
        <v>87</v>
      </c>
      <c r="E300" s="1" t="s">
        <v>88</v>
      </c>
      <c r="F300" s="1" t="str">
        <f t="shared" si="113"/>
        <v>225</v>
      </c>
      <c r="G300" s="1" t="str">
        <f t="shared" si="114"/>
        <v>55</v>
      </c>
      <c r="H300" s="1" t="str">
        <f t="shared" si="115"/>
        <v>18</v>
      </c>
      <c r="I300" s="1" t="s">
        <v>89</v>
      </c>
      <c r="J300" s="1" t="s">
        <v>90</v>
      </c>
      <c r="K300" s="1" t="s">
        <v>92</v>
      </c>
      <c r="L300" s="1" t="s">
        <v>93</v>
      </c>
      <c r="M300" s="2">
        <v>7.5</v>
      </c>
      <c r="N300" s="5">
        <f t="shared" si="116"/>
        <v>7357.5</v>
      </c>
      <c r="O300" s="1">
        <v>250</v>
      </c>
      <c r="P300" s="1">
        <v>80</v>
      </c>
      <c r="Q300" s="1">
        <v>1</v>
      </c>
      <c r="R300" s="3">
        <v>0.84674080060976864</v>
      </c>
      <c r="S300" s="4">
        <v>0.13879182970101281</v>
      </c>
      <c r="T300" s="3">
        <v>0.50583698663357712</v>
      </c>
      <c r="U300" s="9">
        <v>45966</v>
      </c>
    </row>
    <row r="301" spans="1:21">
      <c r="A301" s="1">
        <v>300</v>
      </c>
      <c r="B301" s="1" t="s">
        <v>21</v>
      </c>
      <c r="C301" s="1" t="s">
        <v>37</v>
      </c>
      <c r="D301" s="1" t="s">
        <v>87</v>
      </c>
      <c r="E301" s="1" t="s">
        <v>88</v>
      </c>
      <c r="F301" s="1" t="str">
        <f t="shared" si="113"/>
        <v>225</v>
      </c>
      <c r="G301" s="1" t="str">
        <f t="shared" si="114"/>
        <v>55</v>
      </c>
      <c r="H301" s="1" t="str">
        <f t="shared" si="115"/>
        <v>18</v>
      </c>
      <c r="I301" s="1" t="s">
        <v>89</v>
      </c>
      <c r="J301" s="1" t="s">
        <v>90</v>
      </c>
      <c r="K301" s="1" t="s">
        <v>92</v>
      </c>
      <c r="L301" s="1" t="s">
        <v>93</v>
      </c>
      <c r="M301" s="2">
        <v>7.5</v>
      </c>
      <c r="N301" s="5">
        <f t="shared" si="116"/>
        <v>7357.5</v>
      </c>
      <c r="O301" s="1">
        <v>250</v>
      </c>
      <c r="P301" s="1">
        <v>80</v>
      </c>
      <c r="Q301" s="1">
        <v>2</v>
      </c>
      <c r="R301" s="3">
        <v>0.91966472157799173</v>
      </c>
      <c r="S301" s="4">
        <v>0.12032608000345919</v>
      </c>
      <c r="T301" s="3">
        <v>0.60307955186398388</v>
      </c>
      <c r="U301" s="9">
        <v>45966</v>
      </c>
    </row>
    <row r="302" spans="1:21">
      <c r="A302" s="1">
        <v>301</v>
      </c>
      <c r="B302" s="1" t="s">
        <v>21</v>
      </c>
      <c r="C302" s="1" t="s">
        <v>37</v>
      </c>
      <c r="D302" s="1" t="s">
        <v>87</v>
      </c>
      <c r="E302" s="1" t="s">
        <v>88</v>
      </c>
      <c r="F302" s="1" t="str">
        <f t="shared" ref="F302:F311" si="117">LEFT(E302,3)</f>
        <v>225</v>
      </c>
      <c r="G302" s="1" t="str">
        <f t="shared" ref="G302:G311" si="118">MID(E302,5,2)</f>
        <v>55</v>
      </c>
      <c r="H302" s="1" t="str">
        <f t="shared" ref="H302:H311" si="119">MID(E302,8,2)</f>
        <v>18</v>
      </c>
      <c r="I302" s="1" t="s">
        <v>89</v>
      </c>
      <c r="J302" s="1" t="s">
        <v>90</v>
      </c>
      <c r="K302" s="1" t="s">
        <v>92</v>
      </c>
      <c r="L302" s="1" t="s">
        <v>93</v>
      </c>
      <c r="M302" s="2">
        <v>7.5</v>
      </c>
      <c r="N302" s="5">
        <f t="shared" si="116"/>
        <v>7357.5</v>
      </c>
      <c r="O302" s="1">
        <v>250</v>
      </c>
      <c r="P302" s="1">
        <v>80</v>
      </c>
      <c r="Q302" s="1">
        <v>3</v>
      </c>
      <c r="R302" s="3">
        <v>0.79742233618304414</v>
      </c>
      <c r="S302" s="4">
        <v>0.1519160908141057</v>
      </c>
      <c r="T302" s="3">
        <v>0.55291673175793687</v>
      </c>
      <c r="U302" s="9">
        <v>45966</v>
      </c>
    </row>
    <row r="303" spans="1:21">
      <c r="A303" s="1">
        <v>302</v>
      </c>
      <c r="B303" s="1" t="s">
        <v>21</v>
      </c>
      <c r="C303" s="1" t="s">
        <v>37</v>
      </c>
      <c r="D303" s="1" t="s">
        <v>87</v>
      </c>
      <c r="E303" s="1" t="s">
        <v>88</v>
      </c>
      <c r="F303" s="1" t="str">
        <f t="shared" si="117"/>
        <v>225</v>
      </c>
      <c r="G303" s="1" t="str">
        <f t="shared" si="118"/>
        <v>55</v>
      </c>
      <c r="H303" s="1" t="str">
        <f t="shared" si="119"/>
        <v>18</v>
      </c>
      <c r="I303" s="1" t="s">
        <v>89</v>
      </c>
      <c r="J303" s="1" t="s">
        <v>90</v>
      </c>
      <c r="K303" s="1" t="s">
        <v>92</v>
      </c>
      <c r="L303" s="1" t="s">
        <v>93</v>
      </c>
      <c r="M303" s="2">
        <v>7.5</v>
      </c>
      <c r="N303" s="5">
        <f t="shared" si="116"/>
        <v>7357.5</v>
      </c>
      <c r="O303" s="1">
        <v>250</v>
      </c>
      <c r="P303" s="1">
        <v>80</v>
      </c>
      <c r="Q303" s="1">
        <v>4</v>
      </c>
      <c r="R303" s="3">
        <v>0.84428294266265236</v>
      </c>
      <c r="S303" s="4">
        <v>0.1411634866725367</v>
      </c>
      <c r="T303" s="3">
        <v>0.61168726719820588</v>
      </c>
      <c r="U303" s="9">
        <v>45966</v>
      </c>
    </row>
    <row r="304" spans="1:21">
      <c r="A304" s="1">
        <v>303</v>
      </c>
      <c r="B304" s="1" t="s">
        <v>21</v>
      </c>
      <c r="C304" s="1" t="s">
        <v>37</v>
      </c>
      <c r="D304" s="1" t="s">
        <v>87</v>
      </c>
      <c r="E304" s="1" t="s">
        <v>88</v>
      </c>
      <c r="F304" s="1" t="str">
        <f t="shared" si="117"/>
        <v>225</v>
      </c>
      <c r="G304" s="1" t="str">
        <f t="shared" si="118"/>
        <v>55</v>
      </c>
      <c r="H304" s="1" t="str">
        <f t="shared" si="119"/>
        <v>18</v>
      </c>
      <c r="I304" s="1" t="s">
        <v>89</v>
      </c>
      <c r="J304" s="1" t="s">
        <v>90</v>
      </c>
      <c r="K304" s="1" t="s">
        <v>92</v>
      </c>
      <c r="L304" s="1" t="s">
        <v>93</v>
      </c>
      <c r="M304" s="2">
        <v>7.5</v>
      </c>
      <c r="N304" s="5">
        <f t="shared" si="116"/>
        <v>7357.5</v>
      </c>
      <c r="O304" s="1">
        <v>250</v>
      </c>
      <c r="P304" s="1">
        <v>80</v>
      </c>
      <c r="Q304" s="1">
        <v>5</v>
      </c>
      <c r="R304" s="3">
        <v>0.91911217248438493</v>
      </c>
      <c r="S304" s="4">
        <v>0.1356024875729748</v>
      </c>
      <c r="T304" s="3">
        <v>0.56787915153252311</v>
      </c>
      <c r="U304" s="9">
        <v>45966</v>
      </c>
    </row>
    <row r="305" spans="1:21">
      <c r="A305" s="1">
        <v>304</v>
      </c>
      <c r="B305" s="1" t="s">
        <v>21</v>
      </c>
      <c r="C305" s="1" t="s">
        <v>37</v>
      </c>
      <c r="D305" s="1" t="s">
        <v>87</v>
      </c>
      <c r="E305" s="1" t="s">
        <v>88</v>
      </c>
      <c r="F305" s="1" t="str">
        <f t="shared" si="117"/>
        <v>225</v>
      </c>
      <c r="G305" s="1" t="str">
        <f t="shared" si="118"/>
        <v>55</v>
      </c>
      <c r="H305" s="1" t="str">
        <f t="shared" si="119"/>
        <v>18</v>
      </c>
      <c r="I305" s="1" t="s">
        <v>89</v>
      </c>
      <c r="J305" s="1" t="s">
        <v>90</v>
      </c>
      <c r="K305" s="1" t="s">
        <v>92</v>
      </c>
      <c r="L305" s="1" t="s">
        <v>93</v>
      </c>
      <c r="M305" s="2">
        <v>7.5</v>
      </c>
      <c r="N305" s="5">
        <f t="shared" si="116"/>
        <v>7357.5</v>
      </c>
      <c r="O305" s="1">
        <v>250</v>
      </c>
      <c r="P305" s="1">
        <v>80</v>
      </c>
      <c r="Q305" s="1">
        <v>6</v>
      </c>
      <c r="R305" s="3">
        <v>0.80862659077007171</v>
      </c>
      <c r="S305" s="4">
        <v>0.14294718864600051</v>
      </c>
      <c r="T305" s="3">
        <v>0.52287941892241041</v>
      </c>
      <c r="U305" s="9">
        <v>45966</v>
      </c>
    </row>
    <row r="306" spans="1:21">
      <c r="A306" s="1">
        <v>305</v>
      </c>
      <c r="B306" s="1" t="s">
        <v>29</v>
      </c>
      <c r="C306" s="1" t="s">
        <v>37</v>
      </c>
      <c r="D306" s="1" t="s">
        <v>87</v>
      </c>
      <c r="E306" s="1" t="s">
        <v>88</v>
      </c>
      <c r="F306" s="1" t="str">
        <f t="shared" si="117"/>
        <v>225</v>
      </c>
      <c r="G306" s="1" t="str">
        <f t="shared" si="118"/>
        <v>55</v>
      </c>
      <c r="H306" s="1" t="str">
        <f t="shared" si="119"/>
        <v>18</v>
      </c>
      <c r="I306" s="1" t="s">
        <v>89</v>
      </c>
      <c r="J306" s="1" t="s">
        <v>90</v>
      </c>
      <c r="K306" s="1" t="s">
        <v>92</v>
      </c>
      <c r="L306" s="1" t="s">
        <v>93</v>
      </c>
      <c r="M306" s="2">
        <v>7.5</v>
      </c>
      <c r="N306" s="5">
        <f t="shared" si="116"/>
        <v>7357.5</v>
      </c>
      <c r="O306" s="1">
        <v>250</v>
      </c>
      <c r="P306" s="1">
        <v>80</v>
      </c>
      <c r="Q306" s="1">
        <v>1</v>
      </c>
      <c r="R306" s="3">
        <v>0.93246287046118503</v>
      </c>
      <c r="S306" s="4">
        <v>0.14218464137929859</v>
      </c>
      <c r="T306" s="3">
        <v>0.57001966204565946</v>
      </c>
      <c r="U306" s="9">
        <v>45966</v>
      </c>
    </row>
    <row r="307" spans="1:21">
      <c r="A307" s="1">
        <v>306</v>
      </c>
      <c r="B307" s="1" t="s">
        <v>29</v>
      </c>
      <c r="C307" s="1" t="s">
        <v>37</v>
      </c>
      <c r="D307" s="1" t="s">
        <v>87</v>
      </c>
      <c r="E307" s="1" t="s">
        <v>88</v>
      </c>
      <c r="F307" s="1" t="str">
        <f t="shared" si="117"/>
        <v>225</v>
      </c>
      <c r="G307" s="1" t="str">
        <f t="shared" si="118"/>
        <v>55</v>
      </c>
      <c r="H307" s="1" t="str">
        <f t="shared" si="119"/>
        <v>18</v>
      </c>
      <c r="I307" s="1" t="s">
        <v>89</v>
      </c>
      <c r="J307" s="1" t="s">
        <v>90</v>
      </c>
      <c r="K307" s="1" t="s">
        <v>92</v>
      </c>
      <c r="L307" s="1" t="s">
        <v>93</v>
      </c>
      <c r="M307" s="2">
        <v>7.5</v>
      </c>
      <c r="N307" s="5">
        <f t="shared" si="116"/>
        <v>7357.5</v>
      </c>
      <c r="O307" s="1">
        <v>250</v>
      </c>
      <c r="P307" s="1">
        <v>80</v>
      </c>
      <c r="Q307" s="1">
        <v>2</v>
      </c>
      <c r="R307" s="3">
        <v>0.88773921881828899</v>
      </c>
      <c r="S307" s="4">
        <v>0.19852501123789651</v>
      </c>
      <c r="T307" s="3">
        <v>0.54208184749592547</v>
      </c>
      <c r="U307" s="9">
        <v>45966</v>
      </c>
    </row>
    <row r="308" spans="1:21">
      <c r="A308" s="1">
        <v>307</v>
      </c>
      <c r="B308" s="1" t="s">
        <v>29</v>
      </c>
      <c r="C308" s="1" t="s">
        <v>37</v>
      </c>
      <c r="D308" s="1" t="s">
        <v>87</v>
      </c>
      <c r="E308" s="1" t="s">
        <v>88</v>
      </c>
      <c r="F308" s="1" t="str">
        <f t="shared" si="117"/>
        <v>225</v>
      </c>
      <c r="G308" s="1" t="str">
        <f t="shared" si="118"/>
        <v>55</v>
      </c>
      <c r="H308" s="1" t="str">
        <f t="shared" si="119"/>
        <v>18</v>
      </c>
      <c r="I308" s="1" t="s">
        <v>89</v>
      </c>
      <c r="J308" s="1" t="s">
        <v>90</v>
      </c>
      <c r="K308" s="1" t="s">
        <v>92</v>
      </c>
      <c r="L308" s="1" t="s">
        <v>93</v>
      </c>
      <c r="M308" s="2">
        <v>7.5</v>
      </c>
      <c r="N308" s="5">
        <f t="shared" si="116"/>
        <v>7357.5</v>
      </c>
      <c r="O308" s="1">
        <v>250</v>
      </c>
      <c r="P308" s="1">
        <v>80</v>
      </c>
      <c r="Q308" s="1">
        <v>3</v>
      </c>
      <c r="R308" s="3">
        <v>0.93594958219672453</v>
      </c>
      <c r="S308" s="4">
        <v>0.13824167823279751</v>
      </c>
      <c r="T308" s="3">
        <v>0.56612437257793569</v>
      </c>
      <c r="U308" s="9">
        <v>45966</v>
      </c>
    </row>
    <row r="309" spans="1:21">
      <c r="A309" s="1">
        <v>308</v>
      </c>
      <c r="B309" s="1" t="s">
        <v>29</v>
      </c>
      <c r="C309" s="1" t="s">
        <v>37</v>
      </c>
      <c r="D309" s="1" t="s">
        <v>87</v>
      </c>
      <c r="E309" s="1" t="s">
        <v>88</v>
      </c>
      <c r="F309" s="1" t="str">
        <f t="shared" si="117"/>
        <v>225</v>
      </c>
      <c r="G309" s="1" t="str">
        <f t="shared" si="118"/>
        <v>55</v>
      </c>
      <c r="H309" s="1" t="str">
        <f t="shared" si="119"/>
        <v>18</v>
      </c>
      <c r="I309" s="1" t="s">
        <v>89</v>
      </c>
      <c r="J309" s="1" t="s">
        <v>90</v>
      </c>
      <c r="K309" s="1" t="s">
        <v>92</v>
      </c>
      <c r="L309" s="1" t="s">
        <v>93</v>
      </c>
      <c r="M309" s="2">
        <v>7.5</v>
      </c>
      <c r="N309" s="5">
        <f t="shared" si="116"/>
        <v>7357.5</v>
      </c>
      <c r="O309" s="1">
        <v>250</v>
      </c>
      <c r="P309" s="1">
        <v>80</v>
      </c>
      <c r="Q309" s="1">
        <v>4</v>
      </c>
      <c r="R309" s="3">
        <v>0.96074237118825445</v>
      </c>
      <c r="S309" s="4">
        <v>0.134431758984976</v>
      </c>
      <c r="T309" s="3">
        <v>0.54162507869339949</v>
      </c>
      <c r="U309" s="9">
        <v>45966</v>
      </c>
    </row>
    <row r="310" spans="1:21">
      <c r="A310" s="1">
        <v>309</v>
      </c>
      <c r="B310" s="1" t="s">
        <v>29</v>
      </c>
      <c r="C310" s="1" t="s">
        <v>37</v>
      </c>
      <c r="D310" s="1" t="s">
        <v>87</v>
      </c>
      <c r="E310" s="1" t="s">
        <v>88</v>
      </c>
      <c r="F310" s="1" t="str">
        <f t="shared" si="117"/>
        <v>225</v>
      </c>
      <c r="G310" s="1" t="str">
        <f t="shared" si="118"/>
        <v>55</v>
      </c>
      <c r="H310" s="1" t="str">
        <f t="shared" si="119"/>
        <v>18</v>
      </c>
      <c r="I310" s="1" t="s">
        <v>89</v>
      </c>
      <c r="J310" s="1" t="s">
        <v>90</v>
      </c>
      <c r="K310" s="1" t="s">
        <v>92</v>
      </c>
      <c r="L310" s="1" t="s">
        <v>93</v>
      </c>
      <c r="M310" s="2">
        <v>7.5</v>
      </c>
      <c r="N310" s="5">
        <f t="shared" si="116"/>
        <v>7357.5</v>
      </c>
      <c r="O310" s="1">
        <v>250</v>
      </c>
      <c r="P310" s="1">
        <v>80</v>
      </c>
      <c r="Q310" s="1">
        <v>5</v>
      </c>
      <c r="R310" s="3">
        <v>0.9470365542820659</v>
      </c>
      <c r="S310" s="4">
        <v>0.16042863481763481</v>
      </c>
      <c r="T310" s="3">
        <v>0.57557745878903011</v>
      </c>
      <c r="U310" s="9">
        <v>45966</v>
      </c>
    </row>
    <row r="311" spans="1:21">
      <c r="A311" s="1">
        <v>310</v>
      </c>
      <c r="B311" s="1" t="s">
        <v>29</v>
      </c>
      <c r="C311" s="1" t="s">
        <v>37</v>
      </c>
      <c r="D311" s="1" t="s">
        <v>87</v>
      </c>
      <c r="E311" s="1" t="s">
        <v>88</v>
      </c>
      <c r="F311" s="1" t="str">
        <f t="shared" si="117"/>
        <v>225</v>
      </c>
      <c r="G311" s="1" t="str">
        <f t="shared" si="118"/>
        <v>55</v>
      </c>
      <c r="H311" s="1" t="str">
        <f t="shared" si="119"/>
        <v>18</v>
      </c>
      <c r="I311" s="1" t="s">
        <v>89</v>
      </c>
      <c r="J311" s="1" t="s">
        <v>90</v>
      </c>
      <c r="K311" s="1" t="s">
        <v>92</v>
      </c>
      <c r="L311" s="1" t="s">
        <v>93</v>
      </c>
      <c r="M311" s="2">
        <v>7.5</v>
      </c>
      <c r="N311" s="5">
        <f t="shared" si="116"/>
        <v>7357.5</v>
      </c>
      <c r="O311" s="1">
        <v>250</v>
      </c>
      <c r="P311" s="1">
        <v>80</v>
      </c>
      <c r="Q311" s="1">
        <v>6</v>
      </c>
      <c r="R311" s="3">
        <v>0.9542576905117176</v>
      </c>
      <c r="S311" s="4">
        <v>0.16035851745882471</v>
      </c>
      <c r="T311" s="3">
        <v>0.56319228489019446</v>
      </c>
      <c r="U311" s="9">
        <v>45966</v>
      </c>
    </row>
    <row r="312" spans="1:21">
      <c r="A312" s="1">
        <v>311</v>
      </c>
      <c r="B312" s="1" t="s">
        <v>21</v>
      </c>
      <c r="C312" s="1" t="s">
        <v>37</v>
      </c>
      <c r="D312" s="1" t="s">
        <v>87</v>
      </c>
      <c r="E312" s="1" t="s">
        <v>88</v>
      </c>
      <c r="F312" s="1" t="str">
        <f t="shared" ref="F312:F317" si="120">LEFT(E312,3)</f>
        <v>225</v>
      </c>
      <c r="G312" s="1" t="str">
        <f t="shared" ref="G312:G317" si="121">MID(E312,5,2)</f>
        <v>55</v>
      </c>
      <c r="H312" s="1" t="str">
        <f t="shared" ref="H312:H317" si="122">MID(E312,8,2)</f>
        <v>18</v>
      </c>
      <c r="I312" s="1" t="s">
        <v>89</v>
      </c>
      <c r="J312" s="1" t="s">
        <v>90</v>
      </c>
      <c r="K312" s="1" t="s">
        <v>94</v>
      </c>
      <c r="L312" s="1" t="s">
        <v>95</v>
      </c>
      <c r="M312" s="2">
        <v>7.5</v>
      </c>
      <c r="N312" s="5">
        <f t="shared" si="116"/>
        <v>7357.5</v>
      </c>
      <c r="O312" s="1">
        <v>250</v>
      </c>
      <c r="P312" s="1">
        <v>80</v>
      </c>
      <c r="Q312" s="1">
        <v>1</v>
      </c>
      <c r="R312" s="3">
        <v>0.89563275116069929</v>
      </c>
      <c r="S312" s="4">
        <v>0.106681383800851</v>
      </c>
      <c r="T312" s="3">
        <v>0.63388477797278875</v>
      </c>
      <c r="U312" s="9">
        <v>45966</v>
      </c>
    </row>
    <row r="313" spans="1:21">
      <c r="A313" s="1">
        <v>312</v>
      </c>
      <c r="B313" s="1" t="s">
        <v>21</v>
      </c>
      <c r="C313" s="1" t="s">
        <v>37</v>
      </c>
      <c r="D313" s="1" t="s">
        <v>87</v>
      </c>
      <c r="E313" s="1" t="s">
        <v>88</v>
      </c>
      <c r="F313" s="1" t="str">
        <f t="shared" si="120"/>
        <v>225</v>
      </c>
      <c r="G313" s="1" t="str">
        <f t="shared" si="121"/>
        <v>55</v>
      </c>
      <c r="H313" s="1" t="str">
        <f t="shared" si="122"/>
        <v>18</v>
      </c>
      <c r="I313" s="1" t="s">
        <v>89</v>
      </c>
      <c r="J313" s="1" t="s">
        <v>90</v>
      </c>
      <c r="K313" s="1" t="s">
        <v>94</v>
      </c>
      <c r="L313" s="1" t="s">
        <v>95</v>
      </c>
      <c r="M313" s="2">
        <v>7.5</v>
      </c>
      <c r="N313" s="5">
        <f t="shared" si="116"/>
        <v>7357.5</v>
      </c>
      <c r="O313" s="1">
        <v>250</v>
      </c>
      <c r="P313" s="1">
        <v>80</v>
      </c>
      <c r="Q313" s="1">
        <v>2</v>
      </c>
      <c r="R313" s="3">
        <v>0.8474162106849995</v>
      </c>
      <c r="S313" s="4">
        <v>0.1033918947828794</v>
      </c>
      <c r="T313" s="3">
        <v>0.47957366152792752</v>
      </c>
      <c r="U313" s="9">
        <v>45966</v>
      </c>
    </row>
    <row r="314" spans="1:21">
      <c r="A314" s="1">
        <v>313</v>
      </c>
      <c r="B314" s="1" t="s">
        <v>21</v>
      </c>
      <c r="C314" s="1" t="s">
        <v>37</v>
      </c>
      <c r="D314" s="1" t="s">
        <v>87</v>
      </c>
      <c r="E314" s="1" t="s">
        <v>88</v>
      </c>
      <c r="F314" s="1" t="str">
        <f t="shared" si="120"/>
        <v>225</v>
      </c>
      <c r="G314" s="1" t="str">
        <f t="shared" si="121"/>
        <v>55</v>
      </c>
      <c r="H314" s="1" t="str">
        <f t="shared" si="122"/>
        <v>18</v>
      </c>
      <c r="I314" s="1" t="s">
        <v>89</v>
      </c>
      <c r="J314" s="1" t="s">
        <v>90</v>
      </c>
      <c r="K314" s="1" t="s">
        <v>94</v>
      </c>
      <c r="L314" s="1" t="s">
        <v>95</v>
      </c>
      <c r="M314" s="2">
        <v>7.5</v>
      </c>
      <c r="N314" s="5">
        <f t="shared" si="116"/>
        <v>7357.5</v>
      </c>
      <c r="O314" s="1">
        <v>250</v>
      </c>
      <c r="P314" s="1">
        <v>80</v>
      </c>
      <c r="Q314" s="1">
        <v>3</v>
      </c>
      <c r="R314" s="3">
        <v>0.78914908388485505</v>
      </c>
      <c r="S314" s="4">
        <v>0.1286320466538555</v>
      </c>
      <c r="T314" s="3">
        <v>0.43944611215835838</v>
      </c>
      <c r="U314" s="9">
        <v>45966</v>
      </c>
    </row>
    <row r="315" spans="1:21">
      <c r="A315" s="1">
        <v>314</v>
      </c>
      <c r="B315" s="1" t="s">
        <v>21</v>
      </c>
      <c r="C315" s="1" t="s">
        <v>37</v>
      </c>
      <c r="D315" s="1" t="s">
        <v>87</v>
      </c>
      <c r="E315" s="1" t="s">
        <v>88</v>
      </c>
      <c r="F315" s="1" t="str">
        <f t="shared" si="120"/>
        <v>225</v>
      </c>
      <c r="G315" s="1" t="str">
        <f t="shared" si="121"/>
        <v>55</v>
      </c>
      <c r="H315" s="1" t="str">
        <f t="shared" si="122"/>
        <v>18</v>
      </c>
      <c r="I315" s="1" t="s">
        <v>89</v>
      </c>
      <c r="J315" s="1" t="s">
        <v>90</v>
      </c>
      <c r="K315" s="1" t="s">
        <v>94</v>
      </c>
      <c r="L315" s="1" t="s">
        <v>95</v>
      </c>
      <c r="M315" s="2">
        <v>7.5</v>
      </c>
      <c r="N315" s="5">
        <f t="shared" si="116"/>
        <v>7357.5</v>
      </c>
      <c r="O315" s="1">
        <v>250</v>
      </c>
      <c r="P315" s="1">
        <v>80</v>
      </c>
      <c r="Q315" s="1">
        <v>4</v>
      </c>
      <c r="R315" s="3">
        <v>0.84237980088298925</v>
      </c>
      <c r="S315" s="4">
        <v>0.1138099280780188</v>
      </c>
      <c r="T315" s="3">
        <v>0.54065716777791306</v>
      </c>
      <c r="U315" s="9">
        <v>45966</v>
      </c>
    </row>
    <row r="316" spans="1:21">
      <c r="A316" s="1">
        <v>315</v>
      </c>
      <c r="B316" s="1" t="s">
        <v>21</v>
      </c>
      <c r="C316" s="1" t="s">
        <v>37</v>
      </c>
      <c r="D316" s="1" t="s">
        <v>87</v>
      </c>
      <c r="E316" s="1" t="s">
        <v>88</v>
      </c>
      <c r="F316" s="1" t="str">
        <f t="shared" si="120"/>
        <v>225</v>
      </c>
      <c r="G316" s="1" t="str">
        <f t="shared" si="121"/>
        <v>55</v>
      </c>
      <c r="H316" s="1" t="str">
        <f t="shared" si="122"/>
        <v>18</v>
      </c>
      <c r="I316" s="1" t="s">
        <v>89</v>
      </c>
      <c r="J316" s="1" t="s">
        <v>90</v>
      </c>
      <c r="K316" s="1" t="s">
        <v>94</v>
      </c>
      <c r="L316" s="1" t="s">
        <v>95</v>
      </c>
      <c r="M316" s="2">
        <v>7.5</v>
      </c>
      <c r="N316" s="5">
        <f t="shared" si="116"/>
        <v>7357.5</v>
      </c>
      <c r="O316" s="1">
        <v>250</v>
      </c>
      <c r="P316" s="1">
        <v>80</v>
      </c>
      <c r="Q316" s="1">
        <v>5</v>
      </c>
      <c r="R316" s="3">
        <v>0.78594605392114958</v>
      </c>
      <c r="S316" s="4">
        <v>0.1040389631215833</v>
      </c>
      <c r="T316" s="3">
        <v>0.49762895479796487</v>
      </c>
      <c r="U316" s="9">
        <v>45966</v>
      </c>
    </row>
    <row r="317" spans="1:21">
      <c r="A317" s="1">
        <v>316</v>
      </c>
      <c r="B317" s="1" t="s">
        <v>21</v>
      </c>
      <c r="C317" s="1" t="s">
        <v>37</v>
      </c>
      <c r="D317" s="1" t="s">
        <v>87</v>
      </c>
      <c r="E317" s="1" t="s">
        <v>88</v>
      </c>
      <c r="F317" s="1" t="str">
        <f t="shared" si="120"/>
        <v>225</v>
      </c>
      <c r="G317" s="1" t="str">
        <f t="shared" si="121"/>
        <v>55</v>
      </c>
      <c r="H317" s="1" t="str">
        <f t="shared" si="122"/>
        <v>18</v>
      </c>
      <c r="I317" s="1" t="s">
        <v>89</v>
      </c>
      <c r="J317" s="1" t="s">
        <v>90</v>
      </c>
      <c r="K317" s="1" t="s">
        <v>94</v>
      </c>
      <c r="L317" s="1" t="s">
        <v>95</v>
      </c>
      <c r="M317" s="2">
        <v>7.5</v>
      </c>
      <c r="N317" s="5">
        <f t="shared" si="116"/>
        <v>7357.5</v>
      </c>
      <c r="O317" s="1">
        <v>250</v>
      </c>
      <c r="P317" s="1">
        <v>80</v>
      </c>
      <c r="Q317" s="1">
        <v>6</v>
      </c>
      <c r="R317" s="3">
        <v>0.81838483872978141</v>
      </c>
      <c r="S317" s="4">
        <v>0.1012348872790437</v>
      </c>
      <c r="T317" s="3">
        <v>0.4367775740533017</v>
      </c>
      <c r="U317" s="9">
        <v>45966</v>
      </c>
    </row>
    <row r="318" spans="1:21">
      <c r="A318" s="1">
        <v>317</v>
      </c>
      <c r="B318" s="1" t="s">
        <v>29</v>
      </c>
      <c r="C318" s="1" t="s">
        <v>37</v>
      </c>
      <c r="D318" s="1" t="s">
        <v>87</v>
      </c>
      <c r="E318" s="1" t="s">
        <v>88</v>
      </c>
      <c r="F318" s="1" t="str">
        <f t="shared" ref="F318:F323" si="123">LEFT(E318,3)</f>
        <v>225</v>
      </c>
      <c r="G318" s="1" t="str">
        <f t="shared" ref="G318:G323" si="124">MID(E318,5,2)</f>
        <v>55</v>
      </c>
      <c r="H318" s="1" t="str">
        <f t="shared" ref="H318:H323" si="125">MID(E318,8,2)</f>
        <v>18</v>
      </c>
      <c r="I318" s="1" t="s">
        <v>89</v>
      </c>
      <c r="J318" s="1" t="s">
        <v>90</v>
      </c>
      <c r="K318" s="1" t="s">
        <v>94</v>
      </c>
      <c r="L318" s="1" t="s">
        <v>95</v>
      </c>
      <c r="M318" s="2">
        <v>7.5</v>
      </c>
      <c r="N318" s="5">
        <f t="shared" si="116"/>
        <v>7357.5</v>
      </c>
      <c r="O318" s="1">
        <v>250</v>
      </c>
      <c r="P318" s="1">
        <v>80</v>
      </c>
      <c r="Q318" s="1">
        <v>1</v>
      </c>
      <c r="R318" s="3">
        <v>0.91806116791935344</v>
      </c>
      <c r="S318" s="4">
        <v>0.11452658032665231</v>
      </c>
      <c r="T318" s="3">
        <v>0.55459401953476684</v>
      </c>
      <c r="U318" s="9">
        <v>45966</v>
      </c>
    </row>
    <row r="319" spans="1:21">
      <c r="A319" s="1">
        <v>318</v>
      </c>
      <c r="B319" s="1" t="s">
        <v>29</v>
      </c>
      <c r="C319" s="1" t="s">
        <v>37</v>
      </c>
      <c r="D319" s="1" t="s">
        <v>87</v>
      </c>
      <c r="E319" s="1" t="s">
        <v>88</v>
      </c>
      <c r="F319" s="1" t="str">
        <f t="shared" si="123"/>
        <v>225</v>
      </c>
      <c r="G319" s="1" t="str">
        <f t="shared" si="124"/>
        <v>55</v>
      </c>
      <c r="H319" s="1" t="str">
        <f t="shared" si="125"/>
        <v>18</v>
      </c>
      <c r="I319" s="1" t="s">
        <v>89</v>
      </c>
      <c r="J319" s="1" t="s">
        <v>90</v>
      </c>
      <c r="K319" s="1" t="s">
        <v>94</v>
      </c>
      <c r="L319" s="1" t="s">
        <v>95</v>
      </c>
      <c r="M319" s="2">
        <v>7.5</v>
      </c>
      <c r="N319" s="5">
        <f t="shared" si="116"/>
        <v>7357.5</v>
      </c>
      <c r="O319" s="1">
        <v>250</v>
      </c>
      <c r="P319" s="1">
        <v>80</v>
      </c>
      <c r="Q319" s="1">
        <v>2</v>
      </c>
      <c r="R319" s="3">
        <v>0.90969824124208198</v>
      </c>
      <c r="S319" s="4">
        <v>0.15275854879884071</v>
      </c>
      <c r="T319" s="3">
        <v>0.50563384575536796</v>
      </c>
      <c r="U319" s="9">
        <v>45966</v>
      </c>
    </row>
    <row r="320" spans="1:21">
      <c r="A320" s="1">
        <v>319</v>
      </c>
      <c r="B320" s="1" t="s">
        <v>29</v>
      </c>
      <c r="C320" s="1" t="s">
        <v>37</v>
      </c>
      <c r="D320" s="1" t="s">
        <v>87</v>
      </c>
      <c r="E320" s="1" t="s">
        <v>88</v>
      </c>
      <c r="F320" s="1" t="str">
        <f t="shared" si="123"/>
        <v>225</v>
      </c>
      <c r="G320" s="1" t="str">
        <f t="shared" si="124"/>
        <v>55</v>
      </c>
      <c r="H320" s="1" t="str">
        <f t="shared" si="125"/>
        <v>18</v>
      </c>
      <c r="I320" s="1" t="s">
        <v>89</v>
      </c>
      <c r="J320" s="1" t="s">
        <v>90</v>
      </c>
      <c r="K320" s="1" t="s">
        <v>94</v>
      </c>
      <c r="L320" s="1" t="s">
        <v>95</v>
      </c>
      <c r="M320" s="2">
        <v>7.5</v>
      </c>
      <c r="N320" s="5">
        <f t="shared" si="116"/>
        <v>7357.5</v>
      </c>
      <c r="O320" s="1">
        <v>250</v>
      </c>
      <c r="P320" s="1">
        <v>80</v>
      </c>
      <c r="Q320" s="1">
        <v>3</v>
      </c>
      <c r="R320" s="3">
        <v>0.88264009215251227</v>
      </c>
      <c r="S320" s="4">
        <v>0.2063082855582179</v>
      </c>
      <c r="T320" s="3">
        <v>0.52348940840947922</v>
      </c>
      <c r="U320" s="9">
        <v>45966</v>
      </c>
    </row>
    <row r="321" spans="1:21">
      <c r="A321" s="1">
        <v>320</v>
      </c>
      <c r="B321" s="1" t="s">
        <v>29</v>
      </c>
      <c r="C321" s="1" t="s">
        <v>37</v>
      </c>
      <c r="D321" s="1" t="s">
        <v>87</v>
      </c>
      <c r="E321" s="1" t="s">
        <v>88</v>
      </c>
      <c r="F321" s="1" t="str">
        <f t="shared" si="123"/>
        <v>225</v>
      </c>
      <c r="G321" s="1" t="str">
        <f t="shared" si="124"/>
        <v>55</v>
      </c>
      <c r="H321" s="1" t="str">
        <f t="shared" si="125"/>
        <v>18</v>
      </c>
      <c r="I321" s="1" t="s">
        <v>89</v>
      </c>
      <c r="J321" s="1" t="s">
        <v>90</v>
      </c>
      <c r="K321" s="1" t="s">
        <v>94</v>
      </c>
      <c r="L321" s="1" t="s">
        <v>95</v>
      </c>
      <c r="M321" s="2">
        <v>7.5</v>
      </c>
      <c r="N321" s="5">
        <f t="shared" si="116"/>
        <v>7357.5</v>
      </c>
      <c r="O321" s="1">
        <v>250</v>
      </c>
      <c r="P321" s="1">
        <v>80</v>
      </c>
      <c r="Q321" s="1">
        <v>4</v>
      </c>
      <c r="R321" s="3">
        <v>0.88996056543801227</v>
      </c>
      <c r="S321" s="4">
        <v>0.2517871311427754</v>
      </c>
      <c r="T321" s="3">
        <v>0.54455048624363178</v>
      </c>
      <c r="U321" s="9">
        <v>45966</v>
      </c>
    </row>
    <row r="322" spans="1:21">
      <c r="A322" s="1">
        <v>321</v>
      </c>
      <c r="B322" s="1" t="s">
        <v>29</v>
      </c>
      <c r="C322" s="1" t="s">
        <v>37</v>
      </c>
      <c r="D322" s="1" t="s">
        <v>87</v>
      </c>
      <c r="E322" s="1" t="s">
        <v>88</v>
      </c>
      <c r="F322" s="1" t="str">
        <f t="shared" si="123"/>
        <v>225</v>
      </c>
      <c r="G322" s="1" t="str">
        <f t="shared" si="124"/>
        <v>55</v>
      </c>
      <c r="H322" s="1" t="str">
        <f t="shared" si="125"/>
        <v>18</v>
      </c>
      <c r="I322" s="1" t="s">
        <v>89</v>
      </c>
      <c r="J322" s="1" t="s">
        <v>90</v>
      </c>
      <c r="K322" s="1" t="s">
        <v>94</v>
      </c>
      <c r="L322" s="1" t="s">
        <v>95</v>
      </c>
      <c r="M322" s="2">
        <v>7.5</v>
      </c>
      <c r="N322" s="5">
        <f t="shared" si="116"/>
        <v>7357.5</v>
      </c>
      <c r="O322" s="1">
        <v>250</v>
      </c>
      <c r="P322" s="1">
        <v>80</v>
      </c>
      <c r="Q322" s="1">
        <v>5</v>
      </c>
      <c r="R322" s="3">
        <v>0.91262113646065013</v>
      </c>
      <c r="S322" s="4">
        <v>0.15386960621365631</v>
      </c>
      <c r="T322" s="3">
        <v>0.57320709915456902</v>
      </c>
      <c r="U322" s="9">
        <v>45966</v>
      </c>
    </row>
    <row r="323" spans="1:21">
      <c r="A323" s="1">
        <v>322</v>
      </c>
      <c r="B323" s="1" t="s">
        <v>29</v>
      </c>
      <c r="C323" s="1" t="s">
        <v>37</v>
      </c>
      <c r="D323" s="1" t="s">
        <v>87</v>
      </c>
      <c r="E323" s="1" t="s">
        <v>88</v>
      </c>
      <c r="F323" s="1" t="str">
        <f t="shared" si="123"/>
        <v>225</v>
      </c>
      <c r="G323" s="1" t="str">
        <f t="shared" si="124"/>
        <v>55</v>
      </c>
      <c r="H323" s="1" t="str">
        <f t="shared" si="125"/>
        <v>18</v>
      </c>
      <c r="I323" s="1" t="s">
        <v>89</v>
      </c>
      <c r="J323" s="1" t="s">
        <v>90</v>
      </c>
      <c r="K323" s="1" t="s">
        <v>94</v>
      </c>
      <c r="L323" s="1" t="s">
        <v>95</v>
      </c>
      <c r="M323" s="2">
        <v>7.5</v>
      </c>
      <c r="N323" s="5">
        <f t="shared" si="116"/>
        <v>7357.5</v>
      </c>
      <c r="O323" s="1">
        <v>250</v>
      </c>
      <c r="P323" s="1">
        <v>80</v>
      </c>
      <c r="Q323" s="1">
        <v>6</v>
      </c>
      <c r="R323" s="3">
        <v>0.91888896369803574</v>
      </c>
      <c r="S323" s="4">
        <v>0.13310948277211951</v>
      </c>
      <c r="T323" s="3">
        <v>0.54231730317989113</v>
      </c>
      <c r="U323" s="9">
        <v>45966</v>
      </c>
    </row>
    <row r="324" spans="1:21">
      <c r="A324" s="1">
        <v>323</v>
      </c>
      <c r="B324" s="1" t="s">
        <v>21</v>
      </c>
      <c r="C324" s="1" t="s">
        <v>37</v>
      </c>
      <c r="D324" s="1" t="s">
        <v>87</v>
      </c>
      <c r="E324" s="1" t="s">
        <v>88</v>
      </c>
      <c r="F324" s="1" t="str">
        <f t="shared" ref="F324:F328" si="126">LEFT(E324,3)</f>
        <v>225</v>
      </c>
      <c r="G324" s="1" t="str">
        <f t="shared" ref="G324:G328" si="127">MID(E324,5,2)</f>
        <v>55</v>
      </c>
      <c r="H324" s="1" t="str">
        <f t="shared" ref="H324:H328" si="128">MID(E324,8,2)</f>
        <v>18</v>
      </c>
      <c r="I324" s="1" t="s">
        <v>89</v>
      </c>
      <c r="J324" s="1" t="s">
        <v>90</v>
      </c>
      <c r="K324" s="1" t="s">
        <v>96</v>
      </c>
      <c r="L324" s="1" t="s">
        <v>97</v>
      </c>
      <c r="M324" s="2">
        <v>7.5</v>
      </c>
      <c r="N324" s="5">
        <f t="shared" si="116"/>
        <v>7357.5</v>
      </c>
      <c r="O324" s="1">
        <v>250</v>
      </c>
      <c r="P324" s="1">
        <v>80</v>
      </c>
      <c r="Q324" s="1">
        <v>1</v>
      </c>
      <c r="R324" s="3">
        <v>0.83463001875702791</v>
      </c>
      <c r="S324" s="4">
        <v>0.11433598066805289</v>
      </c>
      <c r="T324" s="3">
        <v>0.56731926992283155</v>
      </c>
      <c r="U324" s="9">
        <v>45966</v>
      </c>
    </row>
    <row r="325" spans="1:21">
      <c r="A325" s="1">
        <v>324</v>
      </c>
      <c r="B325" s="1" t="s">
        <v>21</v>
      </c>
      <c r="C325" s="1" t="s">
        <v>37</v>
      </c>
      <c r="D325" s="1" t="s">
        <v>87</v>
      </c>
      <c r="E325" s="1" t="s">
        <v>88</v>
      </c>
      <c r="F325" s="1" t="str">
        <f t="shared" si="126"/>
        <v>225</v>
      </c>
      <c r="G325" s="1" t="str">
        <f t="shared" si="127"/>
        <v>55</v>
      </c>
      <c r="H325" s="1" t="str">
        <f t="shared" si="128"/>
        <v>18</v>
      </c>
      <c r="I325" s="1" t="s">
        <v>89</v>
      </c>
      <c r="J325" s="1" t="s">
        <v>90</v>
      </c>
      <c r="K325" s="1" t="s">
        <v>96</v>
      </c>
      <c r="L325" s="1" t="s">
        <v>97</v>
      </c>
      <c r="M325" s="2">
        <v>7.5</v>
      </c>
      <c r="N325" s="5">
        <f t="shared" si="116"/>
        <v>7357.5</v>
      </c>
      <c r="O325" s="1">
        <v>250</v>
      </c>
      <c r="P325" s="1">
        <v>80</v>
      </c>
      <c r="Q325" s="1">
        <v>2</v>
      </c>
      <c r="R325" s="3">
        <v>0.86923702345990073</v>
      </c>
      <c r="S325" s="4">
        <v>6.8620065747366912E-2</v>
      </c>
      <c r="T325" s="3">
        <v>0.59822591469853481</v>
      </c>
      <c r="U325" s="9">
        <v>45966</v>
      </c>
    </row>
    <row r="326" spans="1:21">
      <c r="A326" s="1">
        <v>325</v>
      </c>
      <c r="B326" s="1" t="s">
        <v>21</v>
      </c>
      <c r="C326" s="1" t="s">
        <v>37</v>
      </c>
      <c r="D326" s="1" t="s">
        <v>87</v>
      </c>
      <c r="E326" s="1" t="s">
        <v>88</v>
      </c>
      <c r="F326" s="1" t="str">
        <f t="shared" si="126"/>
        <v>225</v>
      </c>
      <c r="G326" s="1" t="str">
        <f t="shared" si="127"/>
        <v>55</v>
      </c>
      <c r="H326" s="1" t="str">
        <f t="shared" si="128"/>
        <v>18</v>
      </c>
      <c r="I326" s="1" t="s">
        <v>89</v>
      </c>
      <c r="J326" s="1" t="s">
        <v>90</v>
      </c>
      <c r="K326" s="1" t="s">
        <v>96</v>
      </c>
      <c r="L326" s="1" t="s">
        <v>97</v>
      </c>
      <c r="M326" s="2">
        <v>7.5</v>
      </c>
      <c r="N326" s="5">
        <f t="shared" si="116"/>
        <v>7357.5</v>
      </c>
      <c r="O326" s="1">
        <v>250</v>
      </c>
      <c r="P326" s="1">
        <v>80</v>
      </c>
      <c r="Q326" s="1">
        <v>3</v>
      </c>
      <c r="R326" s="3">
        <v>0.90305804508597842</v>
      </c>
      <c r="S326" s="4">
        <v>9.886958589707287E-2</v>
      </c>
      <c r="T326" s="3">
        <v>0.56045784730831505</v>
      </c>
      <c r="U326" s="9">
        <v>45966</v>
      </c>
    </row>
    <row r="327" spans="1:21">
      <c r="A327" s="1">
        <v>326</v>
      </c>
      <c r="B327" s="1" t="s">
        <v>21</v>
      </c>
      <c r="C327" s="1" t="s">
        <v>37</v>
      </c>
      <c r="D327" s="1" t="s">
        <v>87</v>
      </c>
      <c r="E327" s="1" t="s">
        <v>88</v>
      </c>
      <c r="F327" s="1" t="str">
        <f t="shared" si="126"/>
        <v>225</v>
      </c>
      <c r="G327" s="1" t="str">
        <f t="shared" si="127"/>
        <v>55</v>
      </c>
      <c r="H327" s="1" t="str">
        <f t="shared" si="128"/>
        <v>18</v>
      </c>
      <c r="I327" s="1" t="s">
        <v>89</v>
      </c>
      <c r="J327" s="1" t="s">
        <v>90</v>
      </c>
      <c r="K327" s="1" t="s">
        <v>96</v>
      </c>
      <c r="L327" s="1" t="s">
        <v>97</v>
      </c>
      <c r="M327" s="2">
        <v>7.5</v>
      </c>
      <c r="N327" s="5">
        <f t="shared" si="116"/>
        <v>7357.5</v>
      </c>
      <c r="O327" s="1">
        <v>250</v>
      </c>
      <c r="P327" s="1">
        <v>80</v>
      </c>
      <c r="Q327" s="1">
        <v>4</v>
      </c>
      <c r="R327" s="3">
        <v>0.80114455407109164</v>
      </c>
      <c r="S327" s="4">
        <v>9.852076065484254E-2</v>
      </c>
      <c r="T327" s="3">
        <v>0.48503954681942563</v>
      </c>
      <c r="U327" s="9">
        <v>45966</v>
      </c>
    </row>
    <row r="328" spans="1:21">
      <c r="A328" s="1">
        <v>327</v>
      </c>
      <c r="B328" s="1" t="s">
        <v>21</v>
      </c>
      <c r="C328" s="1" t="s">
        <v>37</v>
      </c>
      <c r="D328" s="1" t="s">
        <v>87</v>
      </c>
      <c r="E328" s="1" t="s">
        <v>88</v>
      </c>
      <c r="F328" s="1" t="str">
        <f t="shared" si="126"/>
        <v>225</v>
      </c>
      <c r="G328" s="1" t="str">
        <f t="shared" si="127"/>
        <v>55</v>
      </c>
      <c r="H328" s="1" t="str">
        <f t="shared" si="128"/>
        <v>18</v>
      </c>
      <c r="I328" s="1" t="s">
        <v>89</v>
      </c>
      <c r="J328" s="1" t="s">
        <v>90</v>
      </c>
      <c r="K328" s="1" t="s">
        <v>96</v>
      </c>
      <c r="L328" s="1" t="s">
        <v>97</v>
      </c>
      <c r="M328" s="2">
        <v>7.5</v>
      </c>
      <c r="N328" s="5">
        <f t="shared" si="116"/>
        <v>7357.5</v>
      </c>
      <c r="O328" s="1">
        <v>250</v>
      </c>
      <c r="P328" s="1">
        <v>80</v>
      </c>
      <c r="Q328" s="1">
        <v>5</v>
      </c>
      <c r="R328" s="3">
        <v>0.83034391143065078</v>
      </c>
      <c r="S328" s="4">
        <v>8.7218199394248491E-2</v>
      </c>
      <c r="T328" s="3">
        <v>0.41516464531302361</v>
      </c>
      <c r="U328" s="9">
        <v>45966</v>
      </c>
    </row>
    <row r="329" spans="1:21">
      <c r="A329" s="1">
        <v>328</v>
      </c>
      <c r="B329" s="1" t="s">
        <v>21</v>
      </c>
      <c r="C329" s="1" t="s">
        <v>37</v>
      </c>
      <c r="D329" s="1" t="s">
        <v>87</v>
      </c>
      <c r="E329" s="1" t="s">
        <v>88</v>
      </c>
      <c r="F329" s="1" t="str">
        <f t="shared" ref="F329" si="129">LEFT(E329,3)</f>
        <v>225</v>
      </c>
      <c r="G329" s="1" t="str">
        <f t="shared" ref="G329" si="130">MID(E329,5,2)</f>
        <v>55</v>
      </c>
      <c r="H329" s="1" t="str">
        <f t="shared" ref="H329" si="131">MID(E329,8,2)</f>
        <v>18</v>
      </c>
      <c r="I329" s="1" t="s">
        <v>89</v>
      </c>
      <c r="J329" s="1" t="s">
        <v>90</v>
      </c>
      <c r="K329" s="1" t="s">
        <v>96</v>
      </c>
      <c r="L329" s="1" t="s">
        <v>97</v>
      </c>
      <c r="M329" s="2">
        <v>7.5</v>
      </c>
      <c r="N329" s="5">
        <f t="shared" si="116"/>
        <v>7357.5</v>
      </c>
      <c r="O329" s="1">
        <v>250</v>
      </c>
      <c r="P329" s="1">
        <v>80</v>
      </c>
      <c r="Q329" s="1">
        <v>6</v>
      </c>
      <c r="R329" s="3">
        <v>0.85942773118626659</v>
      </c>
      <c r="S329" s="4">
        <v>7.0544127640665408E-2</v>
      </c>
      <c r="T329" s="3">
        <v>0.54402669574077822</v>
      </c>
      <c r="U329" s="9">
        <v>45966</v>
      </c>
    </row>
    <row r="330" spans="1:21">
      <c r="A330" s="1">
        <v>329</v>
      </c>
      <c r="B330" s="1" t="s">
        <v>29</v>
      </c>
      <c r="C330" s="1" t="s">
        <v>37</v>
      </c>
      <c r="D330" s="1" t="s">
        <v>87</v>
      </c>
      <c r="E330" s="1" t="s">
        <v>88</v>
      </c>
      <c r="F330" s="1" t="str">
        <f t="shared" ref="F330:F333" si="132">LEFT(E330,3)</f>
        <v>225</v>
      </c>
      <c r="G330" s="1" t="str">
        <f t="shared" ref="G330:G333" si="133">MID(E330,5,2)</f>
        <v>55</v>
      </c>
      <c r="H330" s="1" t="str">
        <f t="shared" ref="H330:H333" si="134">MID(E330,8,2)</f>
        <v>18</v>
      </c>
      <c r="I330" s="1" t="s">
        <v>89</v>
      </c>
      <c r="J330" s="1" t="s">
        <v>90</v>
      </c>
      <c r="K330" s="1" t="s">
        <v>96</v>
      </c>
      <c r="L330" s="1" t="s">
        <v>97</v>
      </c>
      <c r="M330" s="2">
        <v>7.5</v>
      </c>
      <c r="N330" s="5">
        <f t="shared" si="116"/>
        <v>7357.5</v>
      </c>
      <c r="O330" s="1">
        <v>250</v>
      </c>
      <c r="P330" s="1">
        <v>80</v>
      </c>
      <c r="Q330" s="1">
        <v>1</v>
      </c>
      <c r="R330" s="3">
        <v>0.92326256155536834</v>
      </c>
      <c r="S330" s="4">
        <v>0.15600742294138109</v>
      </c>
      <c r="T330" s="3">
        <v>0.53135262181107412</v>
      </c>
      <c r="U330" s="9">
        <v>45966</v>
      </c>
    </row>
    <row r="331" spans="1:21">
      <c r="A331" s="1">
        <v>330</v>
      </c>
      <c r="B331" s="1" t="s">
        <v>29</v>
      </c>
      <c r="C331" s="1" t="s">
        <v>37</v>
      </c>
      <c r="D331" s="1" t="s">
        <v>87</v>
      </c>
      <c r="E331" s="1" t="s">
        <v>88</v>
      </c>
      <c r="F331" s="1" t="str">
        <f t="shared" si="132"/>
        <v>225</v>
      </c>
      <c r="G331" s="1" t="str">
        <f t="shared" si="133"/>
        <v>55</v>
      </c>
      <c r="H331" s="1" t="str">
        <f t="shared" si="134"/>
        <v>18</v>
      </c>
      <c r="I331" s="1" t="s">
        <v>89</v>
      </c>
      <c r="J331" s="1" t="s">
        <v>90</v>
      </c>
      <c r="K331" s="1" t="s">
        <v>96</v>
      </c>
      <c r="L331" s="1" t="s">
        <v>97</v>
      </c>
      <c r="M331" s="2">
        <v>7.5</v>
      </c>
      <c r="N331" s="5">
        <f t="shared" si="116"/>
        <v>7357.5</v>
      </c>
      <c r="O331" s="1">
        <v>250</v>
      </c>
      <c r="P331" s="1">
        <v>80</v>
      </c>
      <c r="Q331" s="1">
        <v>2</v>
      </c>
      <c r="R331" s="3">
        <v>0.90894861991206033</v>
      </c>
      <c r="S331" s="4">
        <v>0.20043834780399891</v>
      </c>
      <c r="T331" s="3">
        <v>0.57134267270936068</v>
      </c>
      <c r="U331" s="9">
        <v>45966</v>
      </c>
    </row>
    <row r="332" spans="1:21">
      <c r="A332" s="1">
        <v>331</v>
      </c>
      <c r="B332" s="1" t="s">
        <v>29</v>
      </c>
      <c r="C332" s="1" t="s">
        <v>37</v>
      </c>
      <c r="D332" s="1" t="s">
        <v>87</v>
      </c>
      <c r="E332" s="1" t="s">
        <v>88</v>
      </c>
      <c r="F332" s="1" t="str">
        <f t="shared" si="132"/>
        <v>225</v>
      </c>
      <c r="G332" s="1" t="str">
        <f t="shared" si="133"/>
        <v>55</v>
      </c>
      <c r="H332" s="1" t="str">
        <f t="shared" si="134"/>
        <v>18</v>
      </c>
      <c r="I332" s="1" t="s">
        <v>89</v>
      </c>
      <c r="J332" s="1" t="s">
        <v>90</v>
      </c>
      <c r="K332" s="1" t="s">
        <v>96</v>
      </c>
      <c r="L332" s="1" t="s">
        <v>97</v>
      </c>
      <c r="M332" s="2">
        <v>7.5</v>
      </c>
      <c r="N332" s="5">
        <f t="shared" si="116"/>
        <v>7357.5</v>
      </c>
      <c r="O332" s="1">
        <v>250</v>
      </c>
      <c r="P332" s="1">
        <v>80</v>
      </c>
      <c r="Q332" s="1">
        <v>3</v>
      </c>
      <c r="R332" s="3">
        <v>0.95030461531098354</v>
      </c>
      <c r="S332" s="4">
        <v>0.14669956029151801</v>
      </c>
      <c r="T332" s="3">
        <v>0.6058196423493154</v>
      </c>
      <c r="U332" s="9">
        <v>45966</v>
      </c>
    </row>
    <row r="333" spans="1:21">
      <c r="A333" s="1">
        <v>332</v>
      </c>
      <c r="B333" s="1" t="s">
        <v>29</v>
      </c>
      <c r="C333" s="1" t="s">
        <v>37</v>
      </c>
      <c r="D333" s="1" t="s">
        <v>87</v>
      </c>
      <c r="E333" s="1" t="s">
        <v>88</v>
      </c>
      <c r="F333" s="1" t="str">
        <f t="shared" si="132"/>
        <v>225</v>
      </c>
      <c r="G333" s="1" t="str">
        <f t="shared" si="133"/>
        <v>55</v>
      </c>
      <c r="H333" s="1" t="str">
        <f t="shared" si="134"/>
        <v>18</v>
      </c>
      <c r="I333" s="1" t="s">
        <v>89</v>
      </c>
      <c r="J333" s="1" t="s">
        <v>90</v>
      </c>
      <c r="K333" s="1" t="s">
        <v>96</v>
      </c>
      <c r="L333" s="1" t="s">
        <v>97</v>
      </c>
      <c r="M333" s="2">
        <v>7.5</v>
      </c>
      <c r="N333" s="5">
        <f t="shared" si="116"/>
        <v>7357.5</v>
      </c>
      <c r="O333" s="1">
        <v>250</v>
      </c>
      <c r="P333" s="1">
        <v>80</v>
      </c>
      <c r="Q333" s="1">
        <v>4</v>
      </c>
      <c r="R333" s="3">
        <v>0.90578539319019191</v>
      </c>
      <c r="S333" s="4">
        <v>0.2358140186910703</v>
      </c>
      <c r="T333" s="3">
        <v>0.4978354933634675</v>
      </c>
      <c r="U333" s="9">
        <v>45966</v>
      </c>
    </row>
  </sheetData>
  <autoFilter ref="A1:U277" xr:uid="{00000000-0001-0000-0000-000000000000}"/>
  <phoneticPr fontId="6" type="noConversion"/>
  <dataValidations count="1">
    <dataValidation type="list" allowBlank="1" showInputMessage="1" showErrorMessage="1" sqref="B2:B333" xr:uid="{831ED7E6-19A1-4B58-A520-617DA677C725}">
      <formula1>"Mu Slip - Wet, Mu Slip - Dry"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Jeevan Sajith M</dc:creator>
  <cp:keywords/>
  <dc:description/>
  <cp:lastModifiedBy/>
  <cp:revision/>
  <dcterms:created xsi:type="dcterms:W3CDTF">2015-06-05T18:17:20Z</dcterms:created>
  <dcterms:modified xsi:type="dcterms:W3CDTF">2026-05-28T13:32:59Z</dcterms:modified>
  <cp:category/>
  <cp:contentStatus/>
</cp:coreProperties>
</file>